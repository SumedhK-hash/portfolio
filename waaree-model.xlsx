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MEDH KAGWADE\Downloads\projects\"/>
    </mc:Choice>
  </mc:AlternateContent>
  <xr:revisionPtr revIDLastSave="0" documentId="8_{0C8165D7-F230-46B3-8704-914357795AFA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Profit &amp; Loss" sheetId="1" r:id="rId1"/>
    <sheet name="Financials" sheetId="7" r:id="rId2"/>
    <sheet name="HistoricalFS" sheetId="8" r:id="rId3"/>
    <sheet name="Ratio Analysis" sheetId="12" r:id="rId4"/>
    <sheet name="CashFlow Data" sheetId="11" r:id="rId5"/>
    <sheet name="Data Sheet" sheetId="6" r:id="rId6"/>
    <sheet name="Forecast" sheetId="15" r:id="rId7"/>
    <sheet name="Sheet2" sheetId="16" r:id="rId8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40" i="12" l="1"/>
  <c r="L41" i="12"/>
  <c r="L39" i="12"/>
  <c r="L28" i="12"/>
  <c r="L29" i="12"/>
  <c r="L30" i="12"/>
  <c r="L31" i="12"/>
  <c r="L27" i="12"/>
  <c r="L35" i="12"/>
  <c r="L36" i="12"/>
  <c r="L37" i="12"/>
  <c r="L34" i="12"/>
  <c r="L25" i="12"/>
  <c r="L24" i="12"/>
  <c r="L23" i="12"/>
  <c r="L22" i="12"/>
  <c r="L21" i="12"/>
  <c r="L19" i="12"/>
  <c r="L18" i="12"/>
  <c r="L17" i="12"/>
  <c r="L12" i="12"/>
  <c r="L13" i="12"/>
  <c r="L14" i="12"/>
  <c r="L15" i="12"/>
  <c r="L11" i="12"/>
  <c r="K11" i="12"/>
  <c r="D6" i="12"/>
  <c r="E6" i="12"/>
  <c r="F6" i="12"/>
  <c r="G6" i="12"/>
  <c r="H6" i="12"/>
  <c r="I6" i="12"/>
  <c r="C9" i="12"/>
  <c r="C8" i="12"/>
  <c r="C7" i="12"/>
  <c r="C6" i="12"/>
  <c r="C5" i="12"/>
  <c r="C4" i="16"/>
  <c r="D106" i="8"/>
  <c r="E106" i="8"/>
  <c r="F106" i="8"/>
  <c r="G106" i="8"/>
  <c r="H106" i="8"/>
  <c r="I106" i="8"/>
  <c r="C106" i="8"/>
  <c r="C100" i="8"/>
  <c r="D100" i="8"/>
  <c r="E100" i="8"/>
  <c r="F100" i="8"/>
  <c r="G100" i="8"/>
  <c r="H100" i="8"/>
  <c r="I100" i="8"/>
  <c r="C101" i="8"/>
  <c r="D101" i="8"/>
  <c r="E101" i="8"/>
  <c r="F101" i="8"/>
  <c r="G101" i="8"/>
  <c r="H101" i="8"/>
  <c r="I101" i="8"/>
  <c r="C102" i="8"/>
  <c r="D102" i="8"/>
  <c r="E102" i="8"/>
  <c r="F102" i="8"/>
  <c r="G102" i="8"/>
  <c r="H102" i="8"/>
  <c r="I102" i="8"/>
  <c r="C103" i="8"/>
  <c r="D103" i="8"/>
  <c r="E103" i="8"/>
  <c r="F103" i="8"/>
  <c r="G103" i="8"/>
  <c r="H103" i="8"/>
  <c r="I103" i="8"/>
  <c r="C104" i="8"/>
  <c r="D104" i="8"/>
  <c r="E104" i="8"/>
  <c r="F104" i="8"/>
  <c r="G104" i="8"/>
  <c r="H104" i="8"/>
  <c r="I104" i="8"/>
  <c r="C105" i="8"/>
  <c r="D105" i="8"/>
  <c r="E105" i="8"/>
  <c r="F105" i="8"/>
  <c r="G105" i="8"/>
  <c r="H105" i="8"/>
  <c r="I105" i="8"/>
  <c r="D99" i="8"/>
  <c r="E99" i="8"/>
  <c r="F99" i="8"/>
  <c r="G99" i="8"/>
  <c r="H99" i="8"/>
  <c r="I99" i="8"/>
  <c r="C99" i="8"/>
  <c r="C88" i="8"/>
  <c r="D88" i="8"/>
  <c r="E88" i="8"/>
  <c r="F88" i="8"/>
  <c r="G88" i="8"/>
  <c r="H88" i="8"/>
  <c r="I88" i="8"/>
  <c r="C89" i="8"/>
  <c r="D89" i="8"/>
  <c r="E89" i="8"/>
  <c r="F89" i="8"/>
  <c r="G89" i="8"/>
  <c r="H89" i="8"/>
  <c r="I89" i="8"/>
  <c r="C90" i="8"/>
  <c r="D90" i="8"/>
  <c r="E90" i="8"/>
  <c r="F90" i="8"/>
  <c r="G90" i="8"/>
  <c r="H90" i="8"/>
  <c r="I90" i="8"/>
  <c r="C91" i="8"/>
  <c r="D91" i="8"/>
  <c r="E91" i="8"/>
  <c r="F91" i="8"/>
  <c r="G91" i="8"/>
  <c r="H91" i="8"/>
  <c r="I91" i="8"/>
  <c r="C92" i="8"/>
  <c r="D92" i="8"/>
  <c r="E92" i="8"/>
  <c r="F92" i="8"/>
  <c r="G92" i="8"/>
  <c r="H92" i="8"/>
  <c r="I92" i="8"/>
  <c r="C93" i="8"/>
  <c r="D93" i="8"/>
  <c r="E93" i="8"/>
  <c r="F93" i="8"/>
  <c r="G93" i="8"/>
  <c r="H93" i="8"/>
  <c r="I93" i="8"/>
  <c r="C94" i="8"/>
  <c r="D94" i="8"/>
  <c r="E94" i="8"/>
  <c r="F94" i="8"/>
  <c r="G94" i="8"/>
  <c r="H94" i="8"/>
  <c r="I94" i="8"/>
  <c r="C95" i="8"/>
  <c r="D95" i="8"/>
  <c r="E95" i="8"/>
  <c r="F95" i="8"/>
  <c r="G95" i="8"/>
  <c r="H95" i="8"/>
  <c r="I95" i="8"/>
  <c r="D87" i="8"/>
  <c r="E87" i="8"/>
  <c r="F87" i="8"/>
  <c r="G87" i="8"/>
  <c r="H87" i="8"/>
  <c r="I87" i="8"/>
  <c r="C87" i="8"/>
  <c r="C77" i="8"/>
  <c r="D77" i="8"/>
  <c r="E77" i="8"/>
  <c r="F77" i="8"/>
  <c r="G77" i="8"/>
  <c r="H77" i="8"/>
  <c r="I77" i="8"/>
  <c r="C78" i="8"/>
  <c r="D78" i="8"/>
  <c r="E78" i="8"/>
  <c r="F78" i="8"/>
  <c r="G78" i="8"/>
  <c r="H78" i="8"/>
  <c r="I78" i="8"/>
  <c r="C79" i="8"/>
  <c r="D79" i="8"/>
  <c r="E79" i="8"/>
  <c r="F79" i="8"/>
  <c r="G79" i="8"/>
  <c r="H79" i="8"/>
  <c r="I79" i="8"/>
  <c r="C80" i="8"/>
  <c r="D80" i="8"/>
  <c r="E80" i="8"/>
  <c r="F80" i="8"/>
  <c r="G80" i="8"/>
  <c r="H80" i="8"/>
  <c r="I80" i="8"/>
  <c r="C81" i="8"/>
  <c r="D81" i="8"/>
  <c r="E81" i="8"/>
  <c r="F81" i="8"/>
  <c r="G81" i="8"/>
  <c r="H81" i="8"/>
  <c r="I81" i="8"/>
  <c r="C82" i="8"/>
  <c r="D82" i="8"/>
  <c r="E82" i="8"/>
  <c r="F82" i="8"/>
  <c r="G82" i="8"/>
  <c r="H82" i="8"/>
  <c r="I82" i="8"/>
  <c r="C83" i="8"/>
  <c r="D83" i="8"/>
  <c r="E83" i="8"/>
  <c r="F83" i="8"/>
  <c r="G83" i="8"/>
  <c r="H83" i="8"/>
  <c r="I83" i="8"/>
  <c r="D76" i="8"/>
  <c r="E76" i="8"/>
  <c r="F76" i="8"/>
  <c r="G76" i="8"/>
  <c r="H76" i="8"/>
  <c r="I76" i="8"/>
  <c r="C76" i="8"/>
  <c r="L6" i="1"/>
  <c r="L5" i="1"/>
  <c r="L7" i="1"/>
  <c r="L8" i="1"/>
  <c r="L9" i="1"/>
  <c r="L10" i="1"/>
  <c r="L11" i="1"/>
  <c r="L12" i="1"/>
  <c r="L4" i="1"/>
  <c r="J21" i="8"/>
  <c r="I21" i="8"/>
  <c r="H21" i="8"/>
  <c r="G21" i="8"/>
  <c r="F21" i="8"/>
  <c r="E21" i="8"/>
  <c r="D21" i="8"/>
  <c r="C21" i="8"/>
  <c r="B2" i="8"/>
  <c r="L2" i="16"/>
  <c r="G2" i="16"/>
  <c r="L5" i="16"/>
  <c r="M4" i="16"/>
  <c r="B2" i="16"/>
  <c r="G5" i="16"/>
  <c r="H4" i="16"/>
  <c r="D4" i="16" a="1"/>
  <c r="B5" i="16"/>
  <c r="E14" i="15"/>
  <c r="E13" i="15"/>
  <c r="E12" i="15"/>
  <c r="E11" i="15"/>
  <c r="E10" i="15"/>
  <c r="E9" i="15"/>
  <c r="E8" i="15"/>
  <c r="E7" i="15"/>
  <c r="E6" i="15"/>
  <c r="E5" i="15"/>
  <c r="E4" i="15"/>
  <c r="C4" i="15"/>
  <c r="B4" i="15"/>
  <c r="N25" i="8"/>
  <c r="O25" i="8"/>
  <c r="P25" i="8"/>
  <c r="Q25" i="8"/>
  <c r="R25" i="8"/>
  <c r="S25" i="8"/>
  <c r="T25" i="8"/>
  <c r="U25" i="8"/>
  <c r="V25" i="8"/>
  <c r="W25" i="8"/>
  <c r="X25" i="8"/>
  <c r="C116" i="8"/>
  <c r="D116" i="8"/>
  <c r="E116" i="8"/>
  <c r="F116" i="8"/>
  <c r="G116" i="8"/>
  <c r="H116" i="8"/>
  <c r="I116" i="8"/>
  <c r="C114" i="8"/>
  <c r="D114" i="8"/>
  <c r="E114" i="8"/>
  <c r="F114" i="8"/>
  <c r="G114" i="8"/>
  <c r="H114" i="8"/>
  <c r="I114" i="8"/>
  <c r="C112" i="8"/>
  <c r="D112" i="8"/>
  <c r="E112" i="8"/>
  <c r="F112" i="8"/>
  <c r="G112" i="8"/>
  <c r="H112" i="8"/>
  <c r="I112" i="8"/>
  <c r="B2" i="12"/>
  <c r="I3" i="12"/>
  <c r="H3" i="12"/>
  <c r="G3" i="12"/>
  <c r="F3" i="12"/>
  <c r="E3" i="12"/>
  <c r="D3" i="12"/>
  <c r="C3" i="12"/>
  <c r="J41" i="8"/>
  <c r="J23" i="8"/>
  <c r="J9" i="8"/>
  <c r="D9" i="8"/>
  <c r="E9" i="8"/>
  <c r="F9" i="8"/>
  <c r="G9" i="8"/>
  <c r="H9" i="8"/>
  <c r="I9" i="8"/>
  <c r="C9" i="8"/>
  <c r="J6" i="8"/>
  <c r="C62" i="8"/>
  <c r="D62" i="8"/>
  <c r="E62" i="8"/>
  <c r="F62" i="8"/>
  <c r="G62" i="8"/>
  <c r="H62" i="8"/>
  <c r="I62" i="8"/>
  <c r="C65" i="8"/>
  <c r="D65" i="8"/>
  <c r="E65" i="8"/>
  <c r="F65" i="8"/>
  <c r="G65" i="8"/>
  <c r="H65" i="8"/>
  <c r="I65" i="8"/>
  <c r="C66" i="8"/>
  <c r="D66" i="8"/>
  <c r="E66" i="8"/>
  <c r="F66" i="8"/>
  <c r="G66" i="8"/>
  <c r="H66" i="8"/>
  <c r="I66" i="8"/>
  <c r="C67" i="8"/>
  <c r="D67" i="8"/>
  <c r="E67" i="8"/>
  <c r="F67" i="8"/>
  <c r="G67" i="8"/>
  <c r="H67" i="8"/>
  <c r="I67" i="8"/>
  <c r="C59" i="8"/>
  <c r="D59" i="8"/>
  <c r="E59" i="8"/>
  <c r="F59" i="8"/>
  <c r="G59" i="8"/>
  <c r="H59" i="8"/>
  <c r="I59" i="8"/>
  <c r="C60" i="8"/>
  <c r="D60" i="8"/>
  <c r="E60" i="8"/>
  <c r="F60" i="8"/>
  <c r="G60" i="8"/>
  <c r="H60" i="8"/>
  <c r="I60" i="8"/>
  <c r="C61" i="8"/>
  <c r="D61" i="8"/>
  <c r="E61" i="8"/>
  <c r="F61" i="8"/>
  <c r="G61" i="8"/>
  <c r="H61" i="8"/>
  <c r="I61" i="8"/>
  <c r="C57" i="8"/>
  <c r="D57" i="8"/>
  <c r="E57" i="8"/>
  <c r="F57" i="8"/>
  <c r="G57" i="8"/>
  <c r="H57" i="8"/>
  <c r="I57" i="8"/>
  <c r="C54" i="8"/>
  <c r="D54" i="8"/>
  <c r="E54" i="8"/>
  <c r="F54" i="8"/>
  <c r="G54" i="8"/>
  <c r="H54" i="8"/>
  <c r="I54" i="8"/>
  <c r="C55" i="8"/>
  <c r="D55" i="8"/>
  <c r="E55" i="8"/>
  <c r="F55" i="8"/>
  <c r="G55" i="8"/>
  <c r="H55" i="8"/>
  <c r="I55" i="8"/>
  <c r="C56" i="8"/>
  <c r="D56" i="8"/>
  <c r="E56" i="8"/>
  <c r="F56" i="8"/>
  <c r="G56" i="8"/>
  <c r="H56" i="8"/>
  <c r="I56" i="8"/>
  <c r="C53" i="8"/>
  <c r="D53" i="8"/>
  <c r="E53" i="8"/>
  <c r="F53" i="8"/>
  <c r="G53" i="8"/>
  <c r="H53" i="8"/>
  <c r="I53" i="8"/>
  <c r="C41" i="8"/>
  <c r="D41" i="8"/>
  <c r="E41" i="8"/>
  <c r="F41" i="8"/>
  <c r="G41" i="8"/>
  <c r="H41" i="8"/>
  <c r="I41" i="8"/>
  <c r="J35" i="8"/>
  <c r="C35" i="8"/>
  <c r="D35" i="8"/>
  <c r="E35" i="8"/>
  <c r="F35" i="8"/>
  <c r="G35" i="8"/>
  <c r="H35" i="8"/>
  <c r="I35" i="8"/>
  <c r="H6" i="8"/>
  <c r="I6" i="8"/>
  <c r="C6" i="8"/>
  <c r="D6" i="8"/>
  <c r="E6" i="8"/>
  <c r="F6" i="8"/>
  <c r="G6" i="8"/>
  <c r="C15" i="8"/>
  <c r="D15" i="8"/>
  <c r="E15" i="8"/>
  <c r="F15" i="8"/>
  <c r="G15" i="8"/>
  <c r="H15" i="8"/>
  <c r="I15" i="8"/>
  <c r="C23" i="8"/>
  <c r="D23" i="8"/>
  <c r="E23" i="8"/>
  <c r="F23" i="8"/>
  <c r="G23" i="8"/>
  <c r="H23" i="8"/>
  <c r="I23" i="8"/>
  <c r="C26" i="8"/>
  <c r="D26" i="8"/>
  <c r="E26" i="8"/>
  <c r="F26" i="8"/>
  <c r="G26" i="8"/>
  <c r="H26" i="8"/>
  <c r="I26" i="8"/>
  <c r="C3" i="8"/>
  <c r="D3" i="8"/>
  <c r="E3" i="8"/>
  <c r="F3" i="8"/>
  <c r="G3" i="8"/>
  <c r="H3" i="8"/>
  <c r="I3" i="8"/>
  <c r="C5" i="1"/>
  <c r="D5" i="1"/>
  <c r="E5" i="1"/>
  <c r="F5" i="1"/>
  <c r="G5" i="1"/>
  <c r="H5" i="1"/>
  <c r="I5" i="1"/>
  <c r="J5" i="1"/>
  <c r="K5" i="1"/>
  <c r="B5" i="1"/>
  <c r="B13" i="1"/>
  <c r="B6" i="6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D15" i="1"/>
  <c r="E15" i="1"/>
  <c r="F15" i="1"/>
  <c r="G15" i="1"/>
  <c r="H15" i="1"/>
  <c r="I15" i="1"/>
  <c r="J15" i="1"/>
  <c r="K15" i="1"/>
  <c r="B15" i="1"/>
  <c r="B7" i="1"/>
  <c r="B4" i="1"/>
  <c r="A1" i="1"/>
  <c r="H1" i="1"/>
  <c r="C3" i="1"/>
  <c r="D3" i="1"/>
  <c r="E3" i="1"/>
  <c r="F3" i="1"/>
  <c r="G3" i="1"/>
  <c r="H3" i="1"/>
  <c r="I3" i="1"/>
  <c r="J3" i="1"/>
  <c r="K3" i="1"/>
  <c r="L15" i="1"/>
  <c r="B12" i="1"/>
  <c r="B11" i="1"/>
  <c r="B10" i="1"/>
  <c r="B9" i="1"/>
  <c r="B8" i="1"/>
  <c r="B3" i="1"/>
  <c r="N11" i="1"/>
  <c r="M11" i="1"/>
  <c r="J36" i="8" l="1"/>
  <c r="I36" i="8"/>
  <c r="H36" i="8"/>
  <c r="G36" i="8"/>
  <c r="F36" i="8"/>
  <c r="E36" i="8"/>
  <c r="D36" i="8"/>
  <c r="C36" i="8"/>
  <c r="J27" i="8"/>
  <c r="I27" i="8"/>
  <c r="H27" i="8"/>
  <c r="G27" i="8"/>
  <c r="F27" i="8"/>
  <c r="E27" i="8"/>
  <c r="D27" i="8"/>
  <c r="C27" i="8"/>
  <c r="J24" i="8"/>
  <c r="I24" i="8"/>
  <c r="H24" i="8"/>
  <c r="G24" i="8"/>
  <c r="F24" i="8"/>
  <c r="E24" i="8"/>
  <c r="D24" i="8"/>
  <c r="C24" i="8"/>
  <c r="J16" i="8"/>
  <c r="I16" i="8"/>
  <c r="H16" i="8"/>
  <c r="G16" i="8"/>
  <c r="F16" i="8"/>
  <c r="E16" i="8"/>
  <c r="D16" i="8"/>
  <c r="C16" i="8"/>
  <c r="J10" i="8"/>
  <c r="I10" i="8"/>
  <c r="H10" i="8"/>
  <c r="G10" i="8"/>
  <c r="F10" i="8"/>
  <c r="E10" i="8"/>
  <c r="D10" i="8"/>
  <c r="C10" i="8"/>
  <c r="D7" i="8"/>
  <c r="E7" i="8"/>
  <c r="F7" i="8"/>
  <c r="G7" i="8"/>
  <c r="H7" i="8"/>
  <c r="I7" i="8"/>
  <c r="J7" i="8"/>
  <c r="L13" i="1"/>
  <c r="L14" i="1" s="1"/>
  <c r="C39" i="12"/>
  <c r="D39" i="12"/>
  <c r="E39" i="12"/>
  <c r="F39" i="12"/>
  <c r="G39" i="12"/>
  <c r="H39" i="12"/>
  <c r="I39" i="12"/>
  <c r="C41" i="12"/>
  <c r="D41" i="12"/>
  <c r="E41" i="12"/>
  <c r="F41" i="12"/>
  <c r="G41" i="12"/>
  <c r="H41" i="12"/>
  <c r="I41" i="12"/>
  <c r="C28" i="12"/>
  <c r="D28" i="12"/>
  <c r="E28" i="12"/>
  <c r="F28" i="12"/>
  <c r="G28" i="12"/>
  <c r="H28" i="12"/>
  <c r="I28" i="12"/>
  <c r="C30" i="12"/>
  <c r="D30" i="12"/>
  <c r="E30" i="12"/>
  <c r="F30" i="12"/>
  <c r="G30" i="12"/>
  <c r="H30" i="12"/>
  <c r="I30" i="12"/>
  <c r="C31" i="12"/>
  <c r="D31" i="12"/>
  <c r="E31" i="12"/>
  <c r="F31" i="12"/>
  <c r="G31" i="12"/>
  <c r="H31" i="12"/>
  <c r="I31" i="12"/>
  <c r="C5" i="16"/>
  <c r="C6" i="16" s="1"/>
  <c r="C7" i="16" s="1"/>
  <c r="C8" i="16" s="1"/>
  <c r="C9" i="16" s="1"/>
  <c r="C10" i="16" s="1"/>
  <c r="C11" i="16" s="1"/>
  <c r="C12" i="16" s="1"/>
  <c r="C13" i="16" s="1"/>
  <c r="C14" i="16" s="1"/>
  <c r="C15" i="16" s="1"/>
  <c r="C16" i="16" s="1"/>
  <c r="C17" i="16" s="1"/>
  <c r="C27" i="12"/>
  <c r="F27" i="12"/>
  <c r="C29" i="12"/>
  <c r="G29" i="12"/>
  <c r="H17" i="12"/>
  <c r="G17" i="12"/>
  <c r="F17" i="12"/>
  <c r="D17" i="12"/>
  <c r="C17" i="12"/>
  <c r="I6" i="1"/>
  <c r="I19" i="1" s="1"/>
  <c r="J6" i="1"/>
  <c r="J19" i="1" s="1"/>
  <c r="K6" i="1"/>
  <c r="K19" i="1" s="1"/>
  <c r="G6" i="1"/>
  <c r="G19" i="1" s="1"/>
  <c r="D6" i="1"/>
  <c r="D19" i="1" s="1"/>
  <c r="B6" i="1"/>
  <c r="B19" i="1" s="1"/>
  <c r="H23" i="1"/>
  <c r="I23" i="1"/>
  <c r="J23" i="1"/>
  <c r="E27" i="12"/>
  <c r="H27" i="12"/>
  <c r="D29" i="12"/>
  <c r="H29" i="12"/>
  <c r="D27" i="12"/>
  <c r="G27" i="12"/>
  <c r="I27" i="12"/>
  <c r="E29" i="12"/>
  <c r="F29" i="12"/>
  <c r="I29" i="12"/>
  <c r="L6" i="16"/>
  <c r="L7" i="16" s="1"/>
  <c r="L8" i="16" s="1"/>
  <c r="L9" i="16" s="1"/>
  <c r="L10" i="16" s="1"/>
  <c r="L11" i="16" s="1"/>
  <c r="L12" i="16" s="1"/>
  <c r="L13" i="16" s="1"/>
  <c r="L14" i="16" s="1"/>
  <c r="M5" i="16"/>
  <c r="M6" i="16" s="1"/>
  <c r="M7" i="16" s="1"/>
  <c r="M8" i="16" s="1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G6" i="16"/>
  <c r="G7" i="16" s="1"/>
  <c r="G8" i="16" s="1"/>
  <c r="G9" i="16" s="1"/>
  <c r="G10" i="16" s="1"/>
  <c r="G11" i="16" s="1"/>
  <c r="G12" i="16" s="1"/>
  <c r="G13" i="16" s="1"/>
  <c r="G14" i="16" s="1"/>
  <c r="H5" i="16"/>
  <c r="H6" i="16" s="1"/>
  <c r="H7" i="16" s="1"/>
  <c r="H8" i="16" s="1"/>
  <c r="H9" i="16" s="1"/>
  <c r="H10" i="16" s="1"/>
  <c r="H11" i="16" s="1"/>
  <c r="H12" i="16" s="1"/>
  <c r="H13" i="16" s="1"/>
  <c r="H14" i="16" s="1"/>
  <c r="H15" i="16" s="1"/>
  <c r="H16" i="16" s="1"/>
  <c r="H17" i="16" s="1"/>
  <c r="H18" i="16" s="1"/>
  <c r="D4" i="16"/>
  <c r="D5" i="16"/>
  <c r="E5" i="16" s="1"/>
  <c r="D6" i="16"/>
  <c r="E6" i="16" s="1"/>
  <c r="D7" i="16"/>
  <c r="E7" i="16" s="1"/>
  <c r="D8" i="16"/>
  <c r="E8" i="16" s="1"/>
  <c r="D9" i="16"/>
  <c r="E9" i="16" s="1"/>
  <c r="D10" i="16"/>
  <c r="E10" i="16" s="1"/>
  <c r="D11" i="16"/>
  <c r="E11" i="16" s="1"/>
  <c r="D12" i="16"/>
  <c r="E12" i="16" s="1"/>
  <c r="D13" i="16"/>
  <c r="E13" i="16" s="1"/>
  <c r="B6" i="16"/>
  <c r="B7" i="16" s="1"/>
  <c r="B8" i="16" s="1"/>
  <c r="B9" i="16" s="1"/>
  <c r="B10" i="16" s="1"/>
  <c r="B11" i="16" s="1"/>
  <c r="B12" i="16" s="1"/>
  <c r="B13" i="16" s="1"/>
  <c r="B14" i="16" s="1"/>
  <c r="B5" i="15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C5" i="15"/>
  <c r="C6" i="15" s="1"/>
  <c r="C7" i="15" s="1"/>
  <c r="C8" i="15" s="1"/>
  <c r="C9" i="15" s="1"/>
  <c r="C10" i="15" s="1"/>
  <c r="C11" i="15" s="1"/>
  <c r="C12" i="15" s="1"/>
  <c r="C13" i="15" s="1"/>
  <c r="C14" i="15" s="1"/>
  <c r="C15" i="15" s="1"/>
  <c r="C16" i="15" s="1"/>
  <c r="C17" i="15" s="1"/>
  <c r="C18" i="15" s="1"/>
  <c r="C19" i="15" s="1"/>
  <c r="C118" i="8"/>
  <c r="D118" i="8"/>
  <c r="E118" i="8"/>
  <c r="F118" i="8"/>
  <c r="G118" i="8"/>
  <c r="H118" i="8"/>
  <c r="I118" i="8"/>
  <c r="C96" i="8"/>
  <c r="D96" i="8"/>
  <c r="E96" i="8"/>
  <c r="F96" i="8"/>
  <c r="G96" i="8"/>
  <c r="H96" i="8"/>
  <c r="I96" i="8"/>
  <c r="C84" i="8"/>
  <c r="D84" i="8"/>
  <c r="E84" i="8"/>
  <c r="F84" i="8"/>
  <c r="G84" i="8"/>
  <c r="H84" i="8"/>
  <c r="I84" i="8"/>
  <c r="C68" i="8"/>
  <c r="D68" i="8"/>
  <c r="E68" i="8"/>
  <c r="F68" i="8"/>
  <c r="G68" i="8"/>
  <c r="H68" i="8"/>
  <c r="I68" i="8"/>
  <c r="C63" i="8"/>
  <c r="D63" i="8"/>
  <c r="E63" i="8"/>
  <c r="F63" i="8"/>
  <c r="G63" i="8"/>
  <c r="H63" i="8"/>
  <c r="I63" i="8"/>
  <c r="H12" i="8"/>
  <c r="C12" i="8"/>
  <c r="D12" i="8"/>
  <c r="E12" i="8"/>
  <c r="F12" i="8"/>
  <c r="G12" i="8"/>
  <c r="C46" i="8"/>
  <c r="D46" i="8"/>
  <c r="D9" i="12" s="1"/>
  <c r="E46" i="8"/>
  <c r="E9" i="12" s="1"/>
  <c r="F46" i="8"/>
  <c r="F9" i="12" s="1"/>
  <c r="G46" i="8"/>
  <c r="G9" i="12" s="1"/>
  <c r="H46" i="8"/>
  <c r="H9" i="12" s="1"/>
  <c r="I46" i="8"/>
  <c r="I9" i="12" s="1"/>
  <c r="J46" i="8"/>
  <c r="J12" i="8"/>
  <c r="I12" i="8"/>
  <c r="I13" i="8" s="1"/>
  <c r="I11" i="12" s="1"/>
  <c r="B14" i="1"/>
  <c r="H13" i="1"/>
  <c r="H14" i="1" s="1"/>
  <c r="I13" i="1"/>
  <c r="I14" i="1" s="1"/>
  <c r="L25" i="1"/>
  <c r="L23" i="1"/>
  <c r="D13" i="1"/>
  <c r="K13" i="1"/>
  <c r="K14" i="1" s="1"/>
  <c r="C13" i="1"/>
  <c r="C14" i="1" s="1"/>
  <c r="F13" i="1"/>
  <c r="F14" i="1" s="1"/>
  <c r="G13" i="1"/>
  <c r="G14" i="1" s="1"/>
  <c r="J13" i="1"/>
  <c r="J14" i="1" s="1"/>
  <c r="E6" i="1"/>
  <c r="E19" i="1" s="1"/>
  <c r="C6" i="1"/>
  <c r="C19" i="1" s="1"/>
  <c r="L19" i="1"/>
  <c r="L24" i="1" s="1"/>
  <c r="J25" i="1"/>
  <c r="M9" i="1"/>
  <c r="N9" i="1"/>
  <c r="K23" i="1"/>
  <c r="H6" i="1"/>
  <c r="H19" i="1" s="1"/>
  <c r="F6" i="1"/>
  <c r="F19" i="1" s="1"/>
  <c r="K28" i="12" l="1"/>
  <c r="K30" i="12"/>
  <c r="K31" i="12"/>
  <c r="K41" i="12"/>
  <c r="K39" i="12"/>
  <c r="D5" i="12"/>
  <c r="E5" i="12"/>
  <c r="F5" i="12"/>
  <c r="G5" i="12"/>
  <c r="H5" i="12"/>
  <c r="I5" i="12"/>
  <c r="G34" i="12"/>
  <c r="I34" i="12"/>
  <c r="C35" i="12"/>
  <c r="D35" i="12"/>
  <c r="E35" i="12"/>
  <c r="F35" i="12"/>
  <c r="G35" i="12"/>
  <c r="H35" i="12"/>
  <c r="I35" i="12"/>
  <c r="I17" i="12"/>
  <c r="E17" i="12"/>
  <c r="C18" i="12"/>
  <c r="D18" i="12"/>
  <c r="E18" i="12"/>
  <c r="F18" i="12"/>
  <c r="G18" i="12"/>
  <c r="H18" i="12"/>
  <c r="I18" i="12"/>
  <c r="H18" i="8"/>
  <c r="H13" i="8"/>
  <c r="C18" i="8"/>
  <c r="C13" i="8"/>
  <c r="D18" i="8"/>
  <c r="D13" i="8"/>
  <c r="E18" i="8"/>
  <c r="E13" i="8"/>
  <c r="F18" i="8"/>
  <c r="F13" i="8"/>
  <c r="G18" i="8"/>
  <c r="G13" i="8"/>
  <c r="J18" i="8"/>
  <c r="J13" i="8"/>
  <c r="C11" i="12"/>
  <c r="C34" i="12"/>
  <c r="D34" i="12"/>
  <c r="E34" i="12"/>
  <c r="F34" i="12"/>
  <c r="H34" i="12"/>
  <c r="K24" i="1"/>
  <c r="M24" i="1" s="1"/>
  <c r="K27" i="12"/>
  <c r="C36" i="12"/>
  <c r="D36" i="12"/>
  <c r="E36" i="12"/>
  <c r="F36" i="12"/>
  <c r="F37" i="12" s="1"/>
  <c r="G36" i="12"/>
  <c r="G37" i="12" s="1"/>
  <c r="H36" i="12"/>
  <c r="I36" i="12"/>
  <c r="I37" i="12" s="1"/>
  <c r="C18" i="16"/>
  <c r="K29" i="12"/>
  <c r="C108" i="8"/>
  <c r="K25" i="1"/>
  <c r="M25" i="1" s="1"/>
  <c r="M14" i="1" s="1"/>
  <c r="B15" i="16"/>
  <c r="D14" i="16"/>
  <c r="E14" i="16" s="1"/>
  <c r="D15" i="15"/>
  <c r="E15" i="15" s="1"/>
  <c r="B16" i="15"/>
  <c r="K9" i="12"/>
  <c r="L9" i="12"/>
  <c r="K17" i="12"/>
  <c r="L15" i="16"/>
  <c r="G15" i="16"/>
  <c r="D108" i="8"/>
  <c r="E108" i="8"/>
  <c r="F108" i="8"/>
  <c r="G108" i="8"/>
  <c r="H108" i="8"/>
  <c r="I108" i="8"/>
  <c r="C70" i="8"/>
  <c r="D70" i="8"/>
  <c r="E70" i="8"/>
  <c r="F70" i="8"/>
  <c r="G70" i="8"/>
  <c r="H70" i="8"/>
  <c r="I70" i="8"/>
  <c r="I18" i="8"/>
  <c r="N8" i="1"/>
  <c r="M8" i="1"/>
  <c r="N23" i="1"/>
  <c r="N4" i="1" s="1"/>
  <c r="D14" i="1"/>
  <c r="E13" i="1"/>
  <c r="E14" i="1" s="1"/>
  <c r="I25" i="1" s="1"/>
  <c r="I24" i="1"/>
  <c r="H24" i="1"/>
  <c r="J24" i="1"/>
  <c r="M23" i="1"/>
  <c r="M4" i="1" s="1"/>
  <c r="K35" i="12" l="1"/>
  <c r="C37" i="12"/>
  <c r="D37" i="12"/>
  <c r="E37" i="12"/>
  <c r="E11" i="12"/>
  <c r="L5" i="12"/>
  <c r="H11" i="12"/>
  <c r="D11" i="12"/>
  <c r="F11" i="12"/>
  <c r="G11" i="12"/>
  <c r="K5" i="12"/>
  <c r="H29" i="8"/>
  <c r="J29" i="8"/>
  <c r="H25" i="12"/>
  <c r="C29" i="8"/>
  <c r="C30" i="8" s="1"/>
  <c r="C25" i="12"/>
  <c r="D25" i="12"/>
  <c r="D29" i="8"/>
  <c r="E25" i="12"/>
  <c r="E29" i="8"/>
  <c r="E30" i="8" s="1"/>
  <c r="F25" i="12"/>
  <c r="F29" i="8"/>
  <c r="F30" i="8" s="1"/>
  <c r="G29" i="8"/>
  <c r="G25" i="12"/>
  <c r="H13" i="12"/>
  <c r="H19" i="12" s="1"/>
  <c r="C13" i="12"/>
  <c r="C19" i="12" s="1"/>
  <c r="D13" i="12"/>
  <c r="D19" i="12" s="1"/>
  <c r="E13" i="12"/>
  <c r="E19" i="12" s="1"/>
  <c r="F13" i="12"/>
  <c r="F19" i="12" s="1"/>
  <c r="G13" i="12"/>
  <c r="G19" i="12" s="1"/>
  <c r="K18" i="12"/>
  <c r="H19" i="8"/>
  <c r="H12" i="12" s="1"/>
  <c r="H32" i="8"/>
  <c r="C19" i="8"/>
  <c r="C12" i="12" s="1"/>
  <c r="C32" i="8"/>
  <c r="C33" i="8" s="1"/>
  <c r="D19" i="8"/>
  <c r="D12" i="12" s="1"/>
  <c r="D32" i="8"/>
  <c r="E19" i="8"/>
  <c r="E12" i="12" s="1"/>
  <c r="E32" i="8"/>
  <c r="E33" i="8" s="1"/>
  <c r="F19" i="8"/>
  <c r="F12" i="12" s="1"/>
  <c r="F32" i="8"/>
  <c r="G19" i="8"/>
  <c r="G12" i="12" s="1"/>
  <c r="G32" i="8"/>
  <c r="G33" i="8" s="1"/>
  <c r="J19" i="8"/>
  <c r="J32" i="8"/>
  <c r="J38" i="8" s="1"/>
  <c r="J43" i="8" s="1"/>
  <c r="I32" i="8"/>
  <c r="I19" i="8"/>
  <c r="N24" i="1"/>
  <c r="H37" i="12"/>
  <c r="K34" i="12"/>
  <c r="K36" i="12"/>
  <c r="D15" i="16"/>
  <c r="E15" i="16" s="1"/>
  <c r="B16" i="16"/>
  <c r="B17" i="15"/>
  <c r="D16" i="15"/>
  <c r="E16" i="15" s="1"/>
  <c r="H25" i="1"/>
  <c r="N25" i="1" s="1"/>
  <c r="N14" i="1" s="1"/>
  <c r="C72" i="8"/>
  <c r="C40" i="12"/>
  <c r="D72" i="8"/>
  <c r="D40" i="12"/>
  <c r="E72" i="8"/>
  <c r="E40" i="12"/>
  <c r="F72" i="8"/>
  <c r="F40" i="12"/>
  <c r="G72" i="8"/>
  <c r="G40" i="12"/>
  <c r="H72" i="8"/>
  <c r="H40" i="12"/>
  <c r="I72" i="8"/>
  <c r="I40" i="12"/>
  <c r="I29" i="8"/>
  <c r="I25" i="12"/>
  <c r="I4" i="16" a="1"/>
  <c r="L16" i="16"/>
  <c r="G16" i="16"/>
  <c r="I13" i="12"/>
  <c r="I19" i="12" s="1"/>
  <c r="N6" i="1"/>
  <c r="M6" i="1"/>
  <c r="D30" i="8" l="1"/>
  <c r="H21" i="12"/>
  <c r="F33" i="8"/>
  <c r="E14" i="12"/>
  <c r="F14" i="12"/>
  <c r="G14" i="12"/>
  <c r="I12" i="12"/>
  <c r="H33" i="8"/>
  <c r="H30" i="8"/>
  <c r="G30" i="8"/>
  <c r="D33" i="8"/>
  <c r="D14" i="12" s="1"/>
  <c r="J33" i="8"/>
  <c r="I33" i="8"/>
  <c r="H38" i="8"/>
  <c r="H7" i="12"/>
  <c r="C38" i="8"/>
  <c r="C39" i="8" s="1"/>
  <c r="H14" i="12"/>
  <c r="C14" i="12"/>
  <c r="C21" i="12"/>
  <c r="D38" i="8"/>
  <c r="D39" i="8" s="1"/>
  <c r="D7" i="12"/>
  <c r="D21" i="12"/>
  <c r="E38" i="8"/>
  <c r="E7" i="12"/>
  <c r="E21" i="12"/>
  <c r="F38" i="8"/>
  <c r="F7" i="12"/>
  <c r="F21" i="12"/>
  <c r="G21" i="12"/>
  <c r="G38" i="8"/>
  <c r="G7" i="12"/>
  <c r="K25" i="12"/>
  <c r="I30" i="8"/>
  <c r="J30" i="8"/>
  <c r="M10" i="1"/>
  <c r="M12" i="1" s="1"/>
  <c r="M13" i="1" s="1"/>
  <c r="M15" i="1" s="1"/>
  <c r="M5" i="1"/>
  <c r="L6" i="12"/>
  <c r="K6" i="12"/>
  <c r="K37" i="12"/>
  <c r="D16" i="16"/>
  <c r="E16" i="16" s="1"/>
  <c r="B17" i="16"/>
  <c r="D17" i="15"/>
  <c r="E17" i="15" s="1"/>
  <c r="B18" i="15"/>
  <c r="K40" i="12"/>
  <c r="I38" i="8"/>
  <c r="I7" i="12"/>
  <c r="I21" i="12"/>
  <c r="I13" i="16"/>
  <c r="I12" i="16"/>
  <c r="I11" i="16"/>
  <c r="I10" i="16"/>
  <c r="I9" i="16"/>
  <c r="I8" i="16"/>
  <c r="I7" i="16"/>
  <c r="I6" i="16"/>
  <c r="I5" i="16"/>
  <c r="I4" i="16"/>
  <c r="K19" i="12"/>
  <c r="K13" i="12"/>
  <c r="L17" i="16"/>
  <c r="G17" i="16"/>
  <c r="N5" i="1"/>
  <c r="N10" i="1"/>
  <c r="N12" i="1" s="1"/>
  <c r="N13" i="1" s="1"/>
  <c r="N15" i="1" s="1"/>
  <c r="F39" i="8" l="1"/>
  <c r="G39" i="8"/>
  <c r="K12" i="12"/>
  <c r="G15" i="12"/>
  <c r="F15" i="12"/>
  <c r="H39" i="8"/>
  <c r="E39" i="8"/>
  <c r="E15" i="12" s="1"/>
  <c r="H15" i="12"/>
  <c r="H43" i="8"/>
  <c r="H23" i="12"/>
  <c r="H8" i="12"/>
  <c r="C43" i="8"/>
  <c r="C23" i="12"/>
  <c r="D43" i="8"/>
  <c r="D23" i="12"/>
  <c r="D8" i="12"/>
  <c r="E43" i="8"/>
  <c r="E23" i="12"/>
  <c r="E8" i="12"/>
  <c r="F43" i="8"/>
  <c r="F23" i="12"/>
  <c r="F8" i="12"/>
  <c r="G43" i="8"/>
  <c r="G23" i="12"/>
  <c r="G8" i="12"/>
  <c r="K21" i="12"/>
  <c r="C15" i="12"/>
  <c r="D15" i="12"/>
  <c r="I14" i="12"/>
  <c r="I39" i="8"/>
  <c r="J39" i="8"/>
  <c r="I17" i="16"/>
  <c r="J10" i="16"/>
  <c r="J7" i="16"/>
  <c r="D17" i="16"/>
  <c r="E17" i="16" s="1"/>
  <c r="B18" i="16"/>
  <c r="D18" i="16" s="1"/>
  <c r="E18" i="16" s="1"/>
  <c r="B19" i="15"/>
  <c r="D19" i="15" s="1"/>
  <c r="D18" i="15"/>
  <c r="E18" i="15" s="1"/>
  <c r="I43" i="8"/>
  <c r="I23" i="12"/>
  <c r="I8" i="12"/>
  <c r="I16" i="16"/>
  <c r="I15" i="16"/>
  <c r="I14" i="16"/>
  <c r="J14" i="16" s="1"/>
  <c r="L7" i="12"/>
  <c r="K7" i="12"/>
  <c r="J13" i="16"/>
  <c r="J12" i="16"/>
  <c r="J11" i="16"/>
  <c r="J9" i="16"/>
  <c r="J8" i="16"/>
  <c r="J6" i="16"/>
  <c r="J5" i="16"/>
  <c r="L18" i="16"/>
  <c r="G18" i="16"/>
  <c r="I18" i="16" s="1"/>
  <c r="F47" i="8" l="1"/>
  <c r="H47" i="8"/>
  <c r="H49" i="8" s="1"/>
  <c r="H22" i="12" s="1"/>
  <c r="H24" i="12" s="1"/>
  <c r="E44" i="8"/>
  <c r="E47" i="8"/>
  <c r="E49" i="8" s="1"/>
  <c r="E22" i="12" s="1"/>
  <c r="E24" i="12" s="1"/>
  <c r="G44" i="8"/>
  <c r="G47" i="8"/>
  <c r="G49" i="8" s="1"/>
  <c r="G22" i="12" s="1"/>
  <c r="G24" i="12" s="1"/>
  <c r="C44" i="8"/>
  <c r="C47" i="8"/>
  <c r="C49" i="8" s="1"/>
  <c r="C22" i="12" s="1"/>
  <c r="C24" i="12" s="1"/>
  <c r="D44" i="8"/>
  <c r="D47" i="8"/>
  <c r="D49" i="8" s="1"/>
  <c r="D22" i="12" s="1"/>
  <c r="D24" i="12" s="1"/>
  <c r="F44" i="8"/>
  <c r="H44" i="8"/>
  <c r="K14" i="12"/>
  <c r="I15" i="12"/>
  <c r="E19" i="15"/>
  <c r="N4" i="16" a="1"/>
  <c r="J18" i="16"/>
  <c r="J17" i="16"/>
  <c r="J16" i="16"/>
  <c r="K23" i="12"/>
  <c r="L8" i="12"/>
  <c r="K8" i="12"/>
  <c r="J15" i="16"/>
  <c r="I44" i="8"/>
  <c r="I47" i="8"/>
  <c r="I49" i="8" s="1"/>
  <c r="I22" i="12" s="1"/>
  <c r="J44" i="8"/>
  <c r="J47" i="8"/>
  <c r="J49" i="8" s="1"/>
  <c r="K15" i="12" l="1"/>
  <c r="F49" i="8"/>
  <c r="F22" i="12" s="1"/>
  <c r="F24" i="12" s="1"/>
  <c r="N5" i="16"/>
  <c r="N6" i="16"/>
  <c r="N7" i="16"/>
  <c r="N8" i="16"/>
  <c r="O8" i="16" s="1"/>
  <c r="N9" i="16"/>
  <c r="N10" i="16"/>
  <c r="N11" i="16"/>
  <c r="N12" i="16"/>
  <c r="O12" i="16" s="1"/>
  <c r="N13" i="16"/>
  <c r="N4" i="16"/>
  <c r="I24" i="12"/>
  <c r="O9" i="16" l="1"/>
  <c r="O11" i="16"/>
  <c r="O13" i="16"/>
  <c r="O10" i="16"/>
  <c r="N14" i="16"/>
  <c r="O14" i="16" s="1"/>
  <c r="O7" i="16"/>
  <c r="O5" i="16"/>
  <c r="O6" i="16"/>
  <c r="N18" i="16"/>
  <c r="N15" i="16"/>
  <c r="N17" i="16"/>
  <c r="N16" i="16"/>
  <c r="K24" i="12"/>
  <c r="K22" i="12"/>
  <c r="O17" i="16" l="1"/>
  <c r="O16" i="16"/>
  <c r="O15" i="16"/>
  <c r="O18" i="16"/>
</calcChain>
</file>

<file path=xl/sharedStrings.xml><?xml version="1.0" encoding="utf-8"?>
<sst xmlns="http://schemas.openxmlformats.org/spreadsheetml/2006/main" count="298" uniqueCount="206">
  <si>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</si>
  <si>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</si>
  <si>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</si>
  <si>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</si>
  <si>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</si>
  <si>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</si>
  <si>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</si>
  <si>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</si>
  <si>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</si>
  <si>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</si>
  <si>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</si>
  <si>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</si>
  <si>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</si>
  <si>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</si>
  <si>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</si>
  <si>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</si>
  <si>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</si>
  <si>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</si>
  <si>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</si>
  <si>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</si>
  <si>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</si>
  <si>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</si>
  <si>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</si>
  <si>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</si>
  <si>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</si>
  <si>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</si>
  <si>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</si>
  <si>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</si>
  <si>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</si>
  <si>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</si>
  <si>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</si>
  <si>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</si>
  <si>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</si>
  <si>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</si>
  <si>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</si>
  <si>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</si>
  <si>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</si>
  <si>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</si>
  <si>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</si>
  <si>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</si>
  <si>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</si>
  <si>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</si>
  <si>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</si>
  <si>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</si>
  <si>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EPS</t>
  </si>
  <si>
    <t>Price</t>
  </si>
  <si>
    <t>LATEST VERSION</t>
  </si>
  <si>
    <t>CURRENT VERSION</t>
  </si>
  <si>
    <t>WAAREE ENERGIES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</si>
  <si>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</si>
  <si>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</si>
  <si>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</si>
  <si>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</si>
  <si>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</si>
  <si>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</si>
  <si>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</si>
  <si>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</si>
  <si>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</si>
  <si>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</si>
  <si>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</si>
  <si>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</si>
  <si>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</si>
  <si>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</si>
  <si>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</si>
  <si>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</si>
  <si>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</si>
  <si>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</si>
  <si>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</si>
  <si>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</si>
  <si>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</si>
  <si>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</si>
  <si>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</si>
  <si>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</si>
  <si>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</si>
  <si>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</si>
  <si>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</si>
  <si>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LTM</t>
  </si>
  <si>
    <t>Income Statement</t>
  </si>
  <si>
    <t>#</t>
  </si>
  <si>
    <t>COGS</t>
  </si>
  <si>
    <t>COGS % Sales</t>
  </si>
  <si>
    <t>Gross Profit</t>
  </si>
  <si>
    <t xml:space="preserve">Selling &amp; Gen Exp </t>
  </si>
  <si>
    <t>EBITDA</t>
  </si>
  <si>
    <t>S&amp;G Exp % Sales</t>
  </si>
  <si>
    <t>EBITDA Margins</t>
  </si>
  <si>
    <t>Interest % Sales</t>
  </si>
  <si>
    <t>Depreciation % Sales</t>
  </si>
  <si>
    <t>Gross Margin</t>
  </si>
  <si>
    <t>Earnings Before Tax</t>
  </si>
  <si>
    <t>EBT % Sales</t>
  </si>
  <si>
    <t>Effective Tax Rate</t>
  </si>
  <si>
    <t>Net Profit</t>
  </si>
  <si>
    <t>Net Margin</t>
  </si>
  <si>
    <t xml:space="preserve">No. of Equity Shares </t>
  </si>
  <si>
    <t>Divident per share</t>
  </si>
  <si>
    <t>EPS Growth %</t>
  </si>
  <si>
    <t>Dividend Payout ratio</t>
  </si>
  <si>
    <t>Retained Earnings</t>
  </si>
  <si>
    <t>Balance sheet</t>
  </si>
  <si>
    <t>Total Liabilities</t>
  </si>
  <si>
    <t>Fixed Assets Net Block</t>
  </si>
  <si>
    <t>Total Assets</t>
  </si>
  <si>
    <t>Total Non Current Assets</t>
  </si>
  <si>
    <t>Total Current Assets</t>
  </si>
  <si>
    <t xml:space="preserve">Check </t>
  </si>
  <si>
    <t>Profit from operations</t>
  </si>
  <si>
    <t>Payables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</si>
  <si>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</si>
  <si>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</si>
  <si>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</si>
  <si>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</si>
  <si>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</si>
  <si>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</si>
  <si>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</si>
  <si>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</si>
  <si>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Redemp n Canc of Shares</t>
  </si>
  <si>
    <t>Acquisition of companies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</si>
  <si>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</si>
  <si>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</si>
  <si>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</si>
  <si>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</si>
  <si>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</si>
  <si>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</si>
  <si>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</si>
  <si>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</si>
  <si>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Free Cash Flow</t>
  </si>
  <si>
    <t>CFO/OP</t>
  </si>
  <si>
    <t>Cash from Operating Activity -</t>
  </si>
  <si>
    <t>Cash from Investing Activity -</t>
  </si>
  <si>
    <t>Cash from Financing Activity -</t>
  </si>
  <si>
    <t>Cash Flow Statements</t>
  </si>
  <si>
    <t>Cash from Opr Activities</t>
  </si>
  <si>
    <t>Opreating Activities</t>
  </si>
  <si>
    <t>Investing Activities</t>
  </si>
  <si>
    <t>Cash from Invest Activities</t>
  </si>
  <si>
    <t>Financing Activities</t>
  </si>
  <si>
    <t>Cash from Fin Activities</t>
  </si>
  <si>
    <t>SalesGrowth</t>
  </si>
  <si>
    <t>EBITDA Growth</t>
  </si>
  <si>
    <t>NetProfit Growth</t>
  </si>
  <si>
    <t>Dividend Growth</t>
  </si>
  <si>
    <t>EBIT Growth</t>
  </si>
  <si>
    <t>EBITDA Margin</t>
  </si>
  <si>
    <t>EBIT Margin</t>
  </si>
  <si>
    <t>EBT Margin</t>
  </si>
  <si>
    <t>Net Profit Margin</t>
  </si>
  <si>
    <t>SalesExp% Sales</t>
  </si>
  <si>
    <t>Deprn%Sales</t>
  </si>
  <si>
    <t>OprIncome%Sales</t>
  </si>
  <si>
    <t>Return on Cap Emp</t>
  </si>
  <si>
    <t>Retained Earn %</t>
  </si>
  <si>
    <t>Return on Equity%</t>
  </si>
  <si>
    <t>Self Sust Growth Rate</t>
  </si>
  <si>
    <t>Interest Cov Ratio</t>
  </si>
  <si>
    <t>Debt Turnover Ratio</t>
  </si>
  <si>
    <t>Creditor Turnover Ratio</t>
  </si>
  <si>
    <t>Invt Turnover</t>
  </si>
  <si>
    <t>Fixed Asset Turnover</t>
  </si>
  <si>
    <t>Capital Turnover Ratio</t>
  </si>
  <si>
    <t>Debtor Days</t>
  </si>
  <si>
    <t>Payable Days</t>
  </si>
  <si>
    <t>Invt Days</t>
  </si>
  <si>
    <t>Cash Conversion Cycle</t>
  </si>
  <si>
    <t>CFO/Sales</t>
  </si>
  <si>
    <t>CFO/Total Assets</t>
  </si>
  <si>
    <t>CFO/Total Debt</t>
  </si>
  <si>
    <t>Cash From Opr Activities</t>
  </si>
  <si>
    <t>EBIT</t>
  </si>
  <si>
    <t>EBIT % Sales</t>
  </si>
  <si>
    <t>(in days)</t>
  </si>
  <si>
    <t>Mean</t>
  </si>
  <si>
    <t>Median</t>
  </si>
  <si>
    <t>Trend</t>
  </si>
  <si>
    <t>Year Weight</t>
  </si>
  <si>
    <t xml:space="preserve">Year </t>
  </si>
  <si>
    <t>Tata Motors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</si>
  <si>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</si>
  <si>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</si>
  <si>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</si>
  <si>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</si>
  <si>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</si>
  <si>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</si>
  <si>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</si>
  <si>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</si>
  <si>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</si>
  <si>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</si>
  <si>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</si>
  <si>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</si>
  <si>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</si>
  <si>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</si>
  <si>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</si>
  <si>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</si>
  <si>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</si>
  <si>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</si>
  <si>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</si>
  <si>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</si>
  <si>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</si>
  <si>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</si>
  <si>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</si>
  <si>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Strength of regr should be more than 0.4</t>
  </si>
  <si>
    <t xml:space="preserve"> </t>
  </si>
  <si>
    <t>Other income</t>
  </si>
  <si>
    <t>EPS Growth</t>
  </si>
  <si>
    <t>Operating Deposits</t>
  </si>
  <si>
    <t>Capital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</si>
</sst>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7" formatCode="&quot;₹&quot;\ #,##0.00;&quot;₹&quot;\ \-#,##0.00"/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\(&quot;₹&quot;\ \-#,##0.0\);\-"/>
    <numFmt numFmtId="167" formatCode="&quot;₹&quot;\ #,##0.0;\(&quot;₹&quot;\ #,##0.0\);\-"/>
    <numFmt numFmtId="168" formatCode="&quot;₹&quot;\ #,##0.00"/>
    <numFmt numFmtId="169" formatCode="&quot;₹&quot;\ #,##0.00;\(&quot;₹&quot;\ #,##0.00\);\-"/>
    <numFmt numFmtId="170" formatCode="0.00&quot;x&quot;"/>
    <numFmt numFmtId="171" formatCode="0.0"/>
    <numFmt numFmtId="172" formatCode="0&quot;A&quot;"/>
    <numFmt numFmtId="173" formatCode="0&quot;E&quot;"/>
    <numFmt numFmtId="174" formatCode="#,##0.0"/>
    <numFmt numFmtId="175" formatCode="yyyy&quot;A&quot;"/>
    <numFmt numFmtId="176" formatCode="yyyy&quot;E&quot;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3333FF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83">
    <xf numFmtId="0" fontId="0" fillId="0" borderId="0" xfId="0"/>
    <xf numFmtId="43" fontId="1" fillId="0" borderId="0" xfId="1" applyFont="1" applyBorder="1"/>
    <xf numFmtId="0" fontId="1" fillId="0" borderId="0" xfId="0" applyFont="1"/>
    <xf numFmtId="0" fontId="6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7" fillId="0" borderId="0" xfId="1" applyNumberFormat="1" applyFont="1" applyFill="1" applyBorder="1"/>
    <xf numFmtId="164" fontId="0" fillId="0" borderId="0" xfId="1" applyNumberFormat="1" applyFont="1" applyBorder="1"/>
    <xf numFmtId="0" fontId="2" fillId="6" borderId="0" xfId="0" applyFont="1" applyFill="1"/>
    <xf numFmtId="17" fontId="2" fillId="6" borderId="0" xfId="0" applyNumberFormat="1" applyFont="1" applyFill="1"/>
    <xf numFmtId="17" fontId="2" fillId="6" borderId="0" xfId="0" applyNumberFormat="1" applyFont="1" applyFill="1" applyAlignment="1">
      <alignment horizontal="right"/>
    </xf>
    <xf numFmtId="166" fontId="0" fillId="0" borderId="0" xfId="0" applyNumberFormat="1"/>
    <xf numFmtId="0" fontId="8" fillId="0" borderId="0" xfId="0" applyFont="1"/>
    <xf numFmtId="10" fontId="8" fillId="0" borderId="0" xfId="6" applyNumberFormat="1" applyFont="1"/>
    <xf numFmtId="7" fontId="0" fillId="0" borderId="0" xfId="0" applyNumberFormat="1"/>
    <xf numFmtId="0" fontId="0" fillId="7" borderId="0" xfId="0" applyFill="1"/>
    <xf numFmtId="167" fontId="0" fillId="0" borderId="0" xfId="0" applyNumberFormat="1"/>
    <xf numFmtId="10" fontId="0" fillId="0" borderId="0" xfId="6" applyNumberFormat="1" applyFont="1"/>
    <xf numFmtId="167" fontId="1" fillId="0" borderId="0" xfId="0" applyNumberFormat="1" applyFont="1"/>
    <xf numFmtId="17" fontId="0" fillId="0" borderId="0" xfId="0" applyNumberFormat="1"/>
    <xf numFmtId="3" fontId="0" fillId="0" borderId="0" xfId="0" applyNumberFormat="1"/>
    <xf numFmtId="9" fontId="0" fillId="0" borderId="0" xfId="0" applyNumberFormat="1"/>
    <xf numFmtId="0" fontId="9" fillId="0" borderId="0" xfId="0" applyFont="1"/>
    <xf numFmtId="0" fontId="1" fillId="0" borderId="1" xfId="0" applyFont="1" applyBorder="1"/>
    <xf numFmtId="167" fontId="1" fillId="0" borderId="1" xfId="0" applyNumberFormat="1" applyFont="1" applyBorder="1"/>
    <xf numFmtId="168" fontId="0" fillId="0" borderId="0" xfId="0" applyNumberFormat="1"/>
    <xf numFmtId="167" fontId="0" fillId="0" borderId="1" xfId="0" applyNumberFormat="1" applyBorder="1"/>
    <xf numFmtId="0" fontId="0" fillId="8" borderId="1" xfId="0" applyFill="1" applyBorder="1"/>
    <xf numFmtId="169" fontId="0" fillId="0" borderId="0" xfId="0" applyNumberFormat="1"/>
    <xf numFmtId="10" fontId="0" fillId="9" borderId="0" xfId="6" applyNumberFormat="1" applyFont="1" applyFill="1"/>
    <xf numFmtId="0" fontId="10" fillId="0" borderId="0" xfId="0" applyFont="1"/>
    <xf numFmtId="0" fontId="0" fillId="0" borderId="2" xfId="0" applyBorder="1"/>
    <xf numFmtId="10" fontId="0" fillId="0" borderId="2" xfId="6" applyNumberFormat="1" applyFont="1" applyBorder="1"/>
    <xf numFmtId="10" fontId="0" fillId="0" borderId="0" xfId="6" applyNumberFormat="1" applyFont="1" applyBorder="1"/>
    <xf numFmtId="0" fontId="0" fillId="0" borderId="3" xfId="0" applyBorder="1"/>
    <xf numFmtId="10" fontId="0" fillId="0" borderId="3" xfId="6" applyNumberFormat="1" applyFont="1" applyBorder="1"/>
    <xf numFmtId="170" fontId="0" fillId="0" borderId="3" xfId="0" applyNumberFormat="1" applyBorder="1"/>
    <xf numFmtId="170" fontId="0" fillId="0" borderId="2" xfId="0" applyNumberFormat="1" applyBorder="1"/>
    <xf numFmtId="170" fontId="0" fillId="0" borderId="0" xfId="0" applyNumberFormat="1"/>
    <xf numFmtId="1" fontId="0" fillId="0" borderId="2" xfId="0" applyNumberFormat="1" applyBorder="1"/>
    <xf numFmtId="1" fontId="0" fillId="0" borderId="0" xfId="0" applyNumberFormat="1"/>
    <xf numFmtId="1" fontId="0" fillId="0" borderId="3" xfId="0" applyNumberFormat="1" applyBorder="1"/>
    <xf numFmtId="0" fontId="0" fillId="0" borderId="2" xfId="0" applyBorder="1" applyAlignment="1">
      <alignment horizontal="center"/>
    </xf>
    <xf numFmtId="171" fontId="0" fillId="0" borderId="0" xfId="0" applyNumberFormat="1"/>
    <xf numFmtId="0" fontId="2" fillId="10" borderId="0" xfId="0" applyFont="1" applyFill="1"/>
    <xf numFmtId="17" fontId="2" fillId="10" borderId="0" xfId="0" applyNumberFormat="1" applyFont="1" applyFill="1"/>
    <xf numFmtId="0" fontId="0" fillId="0" borderId="0" xfId="0" applyAlignment="1">
      <alignment horizontal="left"/>
    </xf>
    <xf numFmtId="172" fontId="0" fillId="0" borderId="0" xfId="0" applyNumberFormat="1" applyAlignment="1">
      <alignment horizontal="right"/>
    </xf>
    <xf numFmtId="173" fontId="0" fillId="0" borderId="0" xfId="0" applyNumberFormat="1" applyAlignment="1">
      <alignment horizontal="right"/>
    </xf>
    <xf numFmtId="0" fontId="0" fillId="0" borderId="4" xfId="0" applyBorder="1"/>
    <xf numFmtId="0" fontId="9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Continuous"/>
    </xf>
    <xf numFmtId="0" fontId="12" fillId="0" borderId="0" xfId="0" applyFont="1"/>
    <xf numFmtId="174" fontId="0" fillId="0" borderId="0" xfId="0" applyNumberFormat="1"/>
    <xf numFmtId="174" fontId="11" fillId="0" borderId="0" xfId="0" applyNumberFormat="1" applyFont="1"/>
    <xf numFmtId="175" fontId="0" fillId="0" borderId="0" xfId="0" applyNumberFormat="1" applyAlignment="1">
      <alignment horizontal="right"/>
    </xf>
    <xf numFmtId="176" fontId="0" fillId="0" borderId="0" xfId="0" applyNumberFormat="1" applyAlignment="1">
      <alignment horizontal="right"/>
    </xf>
    <xf numFmtId="17" fontId="2" fillId="10" borderId="0" xfId="0" applyNumberFormat="1" applyFont="1" applyFill="1" applyAlignment="1">
      <alignment horizontal="right"/>
    </xf>
    <xf numFmtId="0" fontId="0" fillId="11" borderId="0" xfId="0" applyFill="1" applyAlignment="1">
      <alignment horizontal="left"/>
    </xf>
    <xf numFmtId="176" fontId="0" fillId="11" borderId="0" xfId="0" applyNumberFormat="1" applyFill="1" applyAlignment="1">
      <alignment horizontal="right"/>
    </xf>
    <xf numFmtId="174" fontId="0" fillId="11" borderId="0" xfId="0" applyNumberFormat="1" applyFill="1"/>
    <xf numFmtId="10" fontId="0" fillId="11" borderId="0" xfId="6" applyNumberFormat="1" applyFont="1" applyFill="1"/>
    <xf numFmtId="0" fontId="5" fillId="9" borderId="0" xfId="0" applyFont="1" applyFill="1" applyAlignment="1">
      <alignment horizontal="left"/>
    </xf>
    <xf numFmtId="175" fontId="5" fillId="9" borderId="0" xfId="0" applyNumberFormat="1" applyFont="1" applyFill="1" applyAlignment="1">
      <alignment horizontal="right"/>
    </xf>
    <xf numFmtId="174" fontId="5" fillId="9" borderId="0" xfId="0" applyNumberFormat="1" applyFont="1" applyFill="1"/>
    <xf numFmtId="0" fontId="5" fillId="9" borderId="0" xfId="0" applyFont="1" applyFill="1"/>
    <xf numFmtId="10" fontId="5" fillId="9" borderId="0" xfId="6" applyNumberFormat="1" applyFont="1" applyFill="1"/>
    <xf numFmtId="174" fontId="0" fillId="9" borderId="0" xfId="0" applyNumberFormat="1" applyFill="1"/>
    <xf numFmtId="10" fontId="0" fillId="0" borderId="6" xfId="6" applyNumberFormat="1" applyFont="1" applyBorder="1"/>
    <xf numFmtId="0" fontId="2" fillId="6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43" fontId="0" fillId="0" borderId="0" xfId="0" applyNumberFormat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19">
    <dxf>
      <font>
        <b/>
        <i val="0"/>
        <color theme="0"/>
      </font>
      <fill>
        <patternFill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3333FF"/>
      <color rgb="FFFF0066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>
                <a:softEdge rad="0"/>
              </a:effectLst>
            </c:spPr>
            <c:trendlineType val="linear"/>
            <c:dispRSqr val="0"/>
            <c:dispEq val="0"/>
          </c:trendline>
          <c:xVal>
            <c:numRef>
              <c:f>Forecast!$C$3:$C$14</c:f>
              <c:numCache>
                <c:formatCode>0"A"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numCache>
            </c:numRef>
          </c:xVal>
          <c:yVal>
            <c:numRef>
              <c:f>Forecast!$D$3:$D$14</c:f>
              <c:numCache>
                <c:formatCode>#,##0.0</c:formatCode>
                <c:ptCount val="12"/>
                <c:pt idx="0">
                  <c:v>263159</c:v>
                </c:pt>
                <c:pt idx="1">
                  <c:v>273046</c:v>
                </c:pt>
                <c:pt idx="2">
                  <c:v>269693</c:v>
                </c:pt>
                <c:pt idx="3">
                  <c:v>291550</c:v>
                </c:pt>
                <c:pt idx="4">
                  <c:v>301938</c:v>
                </c:pt>
                <c:pt idx="5">
                  <c:v>261068</c:v>
                </c:pt>
                <c:pt idx="6">
                  <c:v>249795</c:v>
                </c:pt>
                <c:pt idx="7">
                  <c:v>278454</c:v>
                </c:pt>
                <c:pt idx="8">
                  <c:v>345967</c:v>
                </c:pt>
                <c:pt idx="9">
                  <c:v>434016</c:v>
                </c:pt>
                <c:pt idx="10">
                  <c:v>439695</c:v>
                </c:pt>
                <c:pt idx="11">
                  <c:v>335582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CE-4011-9D4B-8255C6CBA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810208"/>
        <c:axId val="502809248"/>
      </c:scatterChart>
      <c:valAx>
        <c:axId val="50281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809248"/>
        <c:crosses val="autoZero"/>
        <c:crossBetween val="midCat"/>
      </c:valAx>
      <c:valAx>
        <c:axId val="50280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810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518160</xdr:colOff>
      <xdr:row>0</xdr:row>
      <xdr:rowOff>173100</xdr:rowOff>
    </xdr:from>
    <xdr:to>
      <xdr:col>9</xdr:col>
      <xdr:colOff>441960</xdr:colOff>
      <xdr:row>10</xdr:row>
      <xdr:rowOff>129539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05D45D-6A0D-8722-E988-405C5750D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18">
  <tableColumns count="14">
    <tableColumn id="1" xr3:uid="{00000000-0010-0000-0000-000001000000}" name="Column1" headerRowDxfId="17" dataDxfId="16"/>
    <tableColumn id="2" xr3:uid="{00000000-0010-0000-0000-000002000000}" name="Column2" headerRowDxfId="15"/>
    <tableColumn id="3" xr3:uid="{00000000-0010-0000-0000-000003000000}" name="Column3" headerRowDxfId="14"/>
    <tableColumn id="4" xr3:uid="{00000000-0010-0000-0000-000004000000}" name="Column4" headerRowDxfId="13"/>
    <tableColumn id="5" xr3:uid="{00000000-0010-0000-0000-000005000000}" name="Column5" headerRowDxfId="12"/>
    <tableColumn id="6" xr3:uid="{00000000-0010-0000-0000-000006000000}" name="Column6" headerRowDxfId="11"/>
    <tableColumn id="7" xr3:uid="{00000000-0010-0000-0000-000007000000}" name="Column7" headerRowDxfId="10"/>
    <tableColumn id="8" xr3:uid="{00000000-0010-0000-0000-000008000000}" name="Column8" headerRowDxfId="9"/>
    <tableColumn id="9" xr3:uid="{00000000-0010-0000-0000-000009000000}" name="Column9" headerRowDxfId="8"/>
    <tableColumn id="10" xr3:uid="{00000000-0010-0000-0000-00000A000000}" name="Column10" headerRowDxfId="7"/>
    <tableColumn id="11" xr3:uid="{00000000-0010-0000-0000-00000B000000}" name="Column11" headerRowDxfId="6"/>
    <tableColumn id="12" xr3:uid="{00000000-0010-0000-0000-00000C000000}" name="Column12" headerRowDxfId="5"/>
    <tableColumn id="13" xr3:uid="{00000000-0010-0000-0000-00000D000000}" name="Column13" headerRowDxfId="4" dataDxfId="3"/>
    <tableColumn id="14" xr3:uid="{00000000-0010-0000-0000-00000E000000}" name="Column14" headerRowDxfId="2" dataDxfId="1"/>
  </tableColumns>
  <tableStyleInfo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Normal="100" zoomScaleSheetLayoutView="100" zoomScalePageLayoutView="120" workbookViewId="0">
      <pane xSplit="1" ySplit="4" topLeftCell="K5" activePane="bottomRight" state="frozen"/>
      <selection activeCell="I2" sqref="I2"/>
      <selection pane="topRight" activeCell="I2" sqref="I2"/>
      <selection pane="bottomLeft" activeCell="I2" sqref="I2"/>
      <selection pane="bottomRight" activeCell="L6" sqref="L6"/>
    </sheetView>
  </sheetViews>
  <sheetFormatPr defaultColWidth="8.77734375" defaultRowHeight="14.4" x14ac:dyDescent="0.3"/>
  <cols>
    <col min="1" max="1" width="19.554687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WAAREE ENERGIES LTD</v>
      </c>
      <c r="H1" t="str">
        <f>UPDATE</f>
        <v>WAAREE ENERGIES LTD</v>
      </c>
      <c r="J1" s="3"/>
      <c r="K1" s="3"/>
      <c r="M1" s="2" t="s">
        <v>1</v>
      </c>
    </row>
    <row r="3" spans="1:14" s="2" customFormat="1" x14ac:dyDescent="0.3">
      <c r="A3" s="10" t="s">
        <v>2</v>
      </c>
      <c r="B3" s="11">
        <f>'Data Sheet'!B16</f>
        <v>42825</v>
      </c>
      <c r="C3" s="11">
        <f>'Data Sheet'!C16</f>
        <v>43190</v>
      </c>
      <c r="D3" s="11">
        <f>'Data Sheet'!D16</f>
        <v>43555</v>
      </c>
      <c r="E3" s="11">
        <f>'Data Sheet'!E16</f>
        <v>43921</v>
      </c>
      <c r="F3" s="11">
        <f>'Data Sheet'!F16</f>
        <v>44286</v>
      </c>
      <c r="G3" s="11">
        <f>'Data Sheet'!G16</f>
        <v>44651</v>
      </c>
      <c r="H3" s="11">
        <f>'Data Sheet'!H16</f>
        <v>45016</v>
      </c>
      <c r="I3" s="11">
        <f>'Data Sheet'!I16</f>
        <v>45382</v>
      </c>
      <c r="J3" s="11">
        <f>'Data Sheet'!J16</f>
        <v>45747</v>
      </c>
      <c r="K3" s="11">
        <f>'Data Sheet'!K16</f>
        <v>46112</v>
      </c>
      <c r="L3" s="12" t="s">
        <v>3</v>
      </c>
      <c r="M3" s="12" t="s">
        <v>4</v>
      </c>
      <c r="N3" s="12" t="s">
        <v>5</v>
      </c>
    </row>
    <row r="4" spans="1:14" s="2" customFormat="1" x14ac:dyDescent="0.3">
      <c r="A4" s="2" t="s">
        <v>6</v>
      </c>
      <c r="B4" s="1">
        <f>'Data Sheet'!B17</f>
        <v>0</v>
      </c>
      <c r="C4" s="1">
        <f>'Data Sheet'!C17</f>
        <v>0</v>
      </c>
      <c r="D4" s="1">
        <f>'Data Sheet'!D17</f>
        <v>0</v>
      </c>
      <c r="E4" s="1">
        <f>'Data Sheet'!E17</f>
        <v>1995.78</v>
      </c>
      <c r="F4" s="1">
        <f>'Data Sheet'!F17</f>
        <v>1952.78</v>
      </c>
      <c r="G4" s="1">
        <f>'Data Sheet'!G17</f>
        <v>2854.27</v>
      </c>
      <c r="H4" s="1">
        <f>'Data Sheet'!H17</f>
        <v>6750.87</v>
      </c>
      <c r="I4" s="1">
        <f>'Data Sheet'!I17</f>
        <v>11397.61</v>
      </c>
      <c r="J4" s="1">
        <f>'Data Sheet'!J17</f>
        <v>14444.5</v>
      </c>
      <c r="K4" s="1">
        <f>'Data Sheet'!K17</f>
        <v>26536.77</v>
      </c>
      <c r="L4" s="1">
        <f>SUM('Data Sheet'!H42:K42)</f>
        <v>26536.77</v>
      </c>
      <c r="M4" s="1">
        <f>$K4+M23*K4</f>
        <v>48752.131401772305</v>
      </c>
      <c r="N4" s="1">
        <f>$K4+N23*L4</f>
        <v>41880.401074911897</v>
      </c>
    </row>
    <row r="5" spans="1:14" x14ac:dyDescent="0.3">
      <c r="A5" t="s">
        <v>7</v>
      </c>
      <c r="B5" s="6">
        <f>SUM('Data Sheet'!B18,'Data Sheet'!B20:B24, -1*'Data Sheet'!B19)</f>
        <v>0</v>
      </c>
      <c r="C5" s="6">
        <f>SUM('Data Sheet'!C18,'Data Sheet'!C20:C24, -1*'Data Sheet'!C19)</f>
        <v>0</v>
      </c>
      <c r="D5" s="6">
        <f>SUM('Data Sheet'!D18,'Data Sheet'!D20:D24, -1*'Data Sheet'!D19)</f>
        <v>0</v>
      </c>
      <c r="E5" s="6">
        <f>SUM('Data Sheet'!E18,'Data Sheet'!E20:E24, -1*'Data Sheet'!E19)</f>
        <v>1903.0100000000002</v>
      </c>
      <c r="F5" s="6">
        <f>SUM('Data Sheet'!F18,'Data Sheet'!F20:F24, -1*'Data Sheet'!F19)</f>
        <v>1867.9499999999998</v>
      </c>
      <c r="G5" s="6">
        <f>SUM('Data Sheet'!G18,'Data Sheet'!G20:G24, -1*'Data Sheet'!G19)</f>
        <v>2748.32</v>
      </c>
      <c r="H5" s="6">
        <f>SUM('Data Sheet'!H18,'Data Sheet'!H20:H24, -1*'Data Sheet'!H19)</f>
        <v>5915.06</v>
      </c>
      <c r="I5" s="6">
        <f>SUM('Data Sheet'!I18,'Data Sheet'!I20:I24, -1*'Data Sheet'!I19)</f>
        <v>9823.18</v>
      </c>
      <c r="J5" s="6">
        <f>SUM('Data Sheet'!J18,'Data Sheet'!J20:J24, -1*'Data Sheet'!J19)</f>
        <v>11722.86</v>
      </c>
      <c r="K5" s="6">
        <f>SUM('Data Sheet'!K18,'Data Sheet'!K20:K24, -1*'Data Sheet'!K19)</f>
        <v>20628.129999999997</v>
      </c>
      <c r="L5" s="6">
        <f>SUM('Data Sheet'!H43:K43)</f>
        <v>20628.14</v>
      </c>
      <c r="M5" s="6">
        <f>M4-M6</f>
        <v>37897.068552584031</v>
      </c>
      <c r="N5" s="6">
        <f t="shared" ref="N5" si="0">N4-N6</f>
        <v>34687.347300884285</v>
      </c>
    </row>
    <row r="6" spans="1:14" s="2" customFormat="1" x14ac:dyDescent="0.3">
      <c r="A6" s="2" t="s">
        <v>8</v>
      </c>
      <c r="B6" s="1">
        <f>B4-B5</f>
        <v>0</v>
      </c>
      <c r="C6" s="1">
        <f t="shared" ref="C6:K6" si="1">C4-C5</f>
        <v>0</v>
      </c>
      <c r="D6" s="1">
        <f t="shared" si="1"/>
        <v>0</v>
      </c>
      <c r="E6" s="1">
        <f t="shared" si="1"/>
        <v>92.769999999999754</v>
      </c>
      <c r="F6" s="1">
        <f t="shared" si="1"/>
        <v>84.830000000000155</v>
      </c>
      <c r="G6" s="1">
        <f t="shared" si="1"/>
        <v>105.94999999999982</v>
      </c>
      <c r="H6" s="1">
        <f t="shared" si="1"/>
        <v>835.80999999999949</v>
      </c>
      <c r="I6" s="1">
        <f t="shared" si="1"/>
        <v>1574.4300000000003</v>
      </c>
      <c r="J6" s="1">
        <f t="shared" si="1"/>
        <v>2721.6399999999994</v>
      </c>
      <c r="K6" s="1">
        <f t="shared" si="1"/>
        <v>5908.6400000000031</v>
      </c>
      <c r="L6" s="1">
        <f>SUM('Data Sheet'!H50:K50)</f>
        <v>5908.63</v>
      </c>
      <c r="M6" s="1">
        <f>M4*M24</f>
        <v>10855.062849188274</v>
      </c>
      <c r="N6" s="1">
        <f>N4*N24</f>
        <v>7193.0537740276141</v>
      </c>
    </row>
    <row r="7" spans="1:14" x14ac:dyDescent="0.3">
      <c r="A7" t="s">
        <v>9</v>
      </c>
      <c r="B7" s="6">
        <f>'Data Sheet'!B25</f>
        <v>0</v>
      </c>
      <c r="C7" s="6">
        <f>'Data Sheet'!C25</f>
        <v>0</v>
      </c>
      <c r="D7" s="6">
        <f>'Data Sheet'!D25</f>
        <v>0</v>
      </c>
      <c r="E7" s="6">
        <f>'Data Sheet'!E25</f>
        <v>25.01</v>
      </c>
      <c r="F7" s="6">
        <f>'Data Sheet'!F25</f>
        <v>44.65</v>
      </c>
      <c r="G7" s="6">
        <f>'Data Sheet'!G25</f>
        <v>96.58</v>
      </c>
      <c r="H7" s="6">
        <f>'Data Sheet'!H25</f>
        <v>87.74</v>
      </c>
      <c r="I7" s="6">
        <f>'Data Sheet'!I25</f>
        <v>576.49</v>
      </c>
      <c r="J7" s="6">
        <f>'Data Sheet'!J25</f>
        <v>397.54</v>
      </c>
      <c r="K7" s="6">
        <f>'Data Sheet'!K25</f>
        <v>413.37</v>
      </c>
      <c r="L7" s="6" t="e">
        <f>SUM(#REF!)</f>
        <v>#REF!</v>
      </c>
      <c r="M7" s="6">
        <v>0</v>
      </c>
      <c r="N7" s="6">
        <v>0</v>
      </c>
    </row>
    <row r="8" spans="1:14" x14ac:dyDescent="0.3">
      <c r="A8" t="s">
        <v>10</v>
      </c>
      <c r="B8" s="6">
        <f>'Data Sheet'!B26</f>
        <v>0</v>
      </c>
      <c r="C8" s="6">
        <f>'Data Sheet'!C26</f>
        <v>0</v>
      </c>
      <c r="D8" s="6">
        <f>'Data Sheet'!D26</f>
        <v>0</v>
      </c>
      <c r="E8" s="6">
        <f>'Data Sheet'!E26</f>
        <v>27.13</v>
      </c>
      <c r="F8" s="6">
        <f>'Data Sheet'!F26</f>
        <v>28.66</v>
      </c>
      <c r="G8" s="6">
        <f>'Data Sheet'!G26</f>
        <v>43.27</v>
      </c>
      <c r="H8" s="6">
        <f>'Data Sheet'!H26</f>
        <v>164.13</v>
      </c>
      <c r="I8" s="6">
        <f>'Data Sheet'!I26</f>
        <v>276.81</v>
      </c>
      <c r="J8" s="6">
        <f>'Data Sheet'!J26</f>
        <v>402.45</v>
      </c>
      <c r="K8" s="6">
        <f>'Data Sheet'!K26</f>
        <v>989.72</v>
      </c>
      <c r="L8" s="6" t="e">
        <f>SUM(#REF!)</f>
        <v>#REF!</v>
      </c>
      <c r="M8" s="6" t="e">
        <f>+$L8</f>
        <v>#REF!</v>
      </c>
      <c r="N8" s="6" t="e">
        <f>+$L8</f>
        <v>#REF!</v>
      </c>
    </row>
    <row r="9" spans="1:14" x14ac:dyDescent="0.3">
      <c r="A9" t="s">
        <v>11</v>
      </c>
      <c r="B9" s="6">
        <f>'Data Sheet'!B27</f>
        <v>0</v>
      </c>
      <c r="C9" s="6">
        <f>'Data Sheet'!C27</f>
        <v>0</v>
      </c>
      <c r="D9" s="6">
        <f>'Data Sheet'!D27</f>
        <v>0</v>
      </c>
      <c r="E9" s="6">
        <f>'Data Sheet'!E27</f>
        <v>33.71</v>
      </c>
      <c r="F9" s="6">
        <f>'Data Sheet'!F27</f>
        <v>30.92</v>
      </c>
      <c r="G9" s="6">
        <f>'Data Sheet'!G27</f>
        <v>40.880000000000003</v>
      </c>
      <c r="H9" s="6">
        <f>'Data Sheet'!H27</f>
        <v>82.27</v>
      </c>
      <c r="I9" s="6">
        <f>'Data Sheet'!I27</f>
        <v>139.91</v>
      </c>
      <c r="J9" s="6">
        <f>'Data Sheet'!J27</f>
        <v>152.09</v>
      </c>
      <c r="K9" s="6">
        <f>'Data Sheet'!K27</f>
        <v>280.5</v>
      </c>
      <c r="L9" s="6" t="e">
        <f>SUM(#REF!)</f>
        <v>#REF!</v>
      </c>
      <c r="M9" s="6" t="e">
        <f>+$L9</f>
        <v>#REF!</v>
      </c>
      <c r="N9" s="6" t="e">
        <f>+$L9</f>
        <v>#REF!</v>
      </c>
    </row>
    <row r="10" spans="1:14" x14ac:dyDescent="0.3">
      <c r="A10" t="s">
        <v>12</v>
      </c>
      <c r="B10" s="6">
        <f>'Data Sheet'!B28</f>
        <v>0</v>
      </c>
      <c r="C10" s="6">
        <f>'Data Sheet'!C28</f>
        <v>0</v>
      </c>
      <c r="D10" s="6">
        <f>'Data Sheet'!D28</f>
        <v>0</v>
      </c>
      <c r="E10" s="6">
        <f>'Data Sheet'!E28</f>
        <v>56.94</v>
      </c>
      <c r="F10" s="6">
        <f>'Data Sheet'!F28</f>
        <v>69.900000000000006</v>
      </c>
      <c r="G10" s="6">
        <f>'Data Sheet'!G28</f>
        <v>118.38</v>
      </c>
      <c r="H10" s="6">
        <f>'Data Sheet'!H28</f>
        <v>677.15</v>
      </c>
      <c r="I10" s="6">
        <f>'Data Sheet'!I28</f>
        <v>1734.2</v>
      </c>
      <c r="J10" s="6">
        <f>'Data Sheet'!J28</f>
        <v>2564.64</v>
      </c>
      <c r="K10" s="6">
        <f>'Data Sheet'!K28</f>
        <v>5051.79</v>
      </c>
      <c r="L10" s="6" t="e">
        <f>SUM(#REF!)</f>
        <v>#REF!</v>
      </c>
      <c r="M10" s="6" t="e">
        <f>M6+M7-SUM(M8:M9)</f>
        <v>#REF!</v>
      </c>
      <c r="N10" s="6" t="e">
        <f>N6+N7-SUM(N8:N9)</f>
        <v>#REF!</v>
      </c>
    </row>
    <row r="11" spans="1:14" x14ac:dyDescent="0.3">
      <c r="A11" t="s">
        <v>13</v>
      </c>
      <c r="B11" s="6">
        <f>'Data Sheet'!B29</f>
        <v>0</v>
      </c>
      <c r="C11" s="6">
        <f>'Data Sheet'!C29</f>
        <v>0</v>
      </c>
      <c r="D11" s="6">
        <f>'Data Sheet'!D29</f>
        <v>0</v>
      </c>
      <c r="E11" s="6">
        <f>'Data Sheet'!E29</f>
        <v>17.920000000000002</v>
      </c>
      <c r="F11" s="6">
        <f>'Data Sheet'!F29</f>
        <v>21.72</v>
      </c>
      <c r="G11" s="6">
        <f>'Data Sheet'!G29</f>
        <v>38.72</v>
      </c>
      <c r="H11" s="6">
        <f>'Data Sheet'!H29</f>
        <v>176.88</v>
      </c>
      <c r="I11" s="6">
        <f>'Data Sheet'!I29</f>
        <v>459.82</v>
      </c>
      <c r="J11" s="6">
        <f>'Data Sheet'!J29</f>
        <v>636.51</v>
      </c>
      <c r="K11" s="6">
        <f>'Data Sheet'!K29</f>
        <v>1167.6400000000001</v>
      </c>
      <c r="L11" s="6" t="e">
        <f>SUM(#REF!)</f>
        <v>#REF!</v>
      </c>
      <c r="M11" s="7" t="e">
        <f>IF($L10&gt;0,$L11/$L10,0)</f>
        <v>#REF!</v>
      </c>
      <c r="N11" s="7" t="e">
        <f>IF($L10&gt;0,$L11/$L10,0)</f>
        <v>#REF!</v>
      </c>
    </row>
    <row r="12" spans="1:14" s="2" customFormat="1" x14ac:dyDescent="0.3">
      <c r="A12" s="2" t="s">
        <v>14</v>
      </c>
      <c r="B12" s="1">
        <f>'Data Sheet'!B30</f>
        <v>0</v>
      </c>
      <c r="C12" s="1">
        <f>'Data Sheet'!C30</f>
        <v>0</v>
      </c>
      <c r="D12" s="1">
        <f>'Data Sheet'!D30</f>
        <v>0</v>
      </c>
      <c r="E12" s="1">
        <f>'Data Sheet'!E30</f>
        <v>41.71</v>
      </c>
      <c r="F12" s="1">
        <f>'Data Sheet'!F30</f>
        <v>49.21</v>
      </c>
      <c r="G12" s="1">
        <f>'Data Sheet'!G30</f>
        <v>75.64</v>
      </c>
      <c r="H12" s="1">
        <f>'Data Sheet'!H30</f>
        <v>482.76</v>
      </c>
      <c r="I12" s="1">
        <f>'Data Sheet'!I30</f>
        <v>1237.18</v>
      </c>
      <c r="J12" s="1">
        <f>'Data Sheet'!J30</f>
        <v>1867.39</v>
      </c>
      <c r="K12" s="1">
        <f>'Data Sheet'!K30</f>
        <v>3711.3</v>
      </c>
      <c r="L12" s="1" t="e">
        <f>SUM(#REF!)</f>
        <v>#REF!</v>
      </c>
      <c r="M12" s="1" t="e">
        <f>M10-M11*M10</f>
        <v>#REF!</v>
      </c>
      <c r="N12" s="1" t="e">
        <f>N10-N11*N10</f>
        <v>#REF!</v>
      </c>
    </row>
    <row r="13" spans="1:14" x14ac:dyDescent="0.3">
      <c r="A13" t="s">
        <v>44</v>
      </c>
      <c r="B13" s="6">
        <f>IF('Data Sheet'!B93&gt;0,B12/'Data Sheet'!B93,0)</f>
        <v>0</v>
      </c>
      <c r="C13" s="6">
        <f>IF('Data Sheet'!C93&gt;0,C12/'Data Sheet'!C93,0)</f>
        <v>0</v>
      </c>
      <c r="D13" s="6">
        <f>IF('Data Sheet'!D93&gt;0,D12/'Data Sheet'!D93,0)</f>
        <v>0</v>
      </c>
      <c r="E13" s="6">
        <f>IF('Data Sheet'!E93&gt;0,E12/'Data Sheet'!E93,0)</f>
        <v>2.1161846778285134</v>
      </c>
      <c r="F13" s="6">
        <f>IF('Data Sheet'!F93&gt;0,F12/'Data Sheet'!F93,0)</f>
        <v>2.4967021816336885</v>
      </c>
      <c r="G13" s="6">
        <f>IF('Data Sheet'!G93&gt;0,G12/'Data Sheet'!G93,0)</f>
        <v>3.8376458650431253</v>
      </c>
      <c r="H13" s="6">
        <f>IF('Data Sheet'!H93&gt;0,H12/'Data Sheet'!H93,0)</f>
        <v>24.493150684931507</v>
      </c>
      <c r="I13" s="6">
        <f>IF('Data Sheet'!I93&gt;0,I12/'Data Sheet'!I93,0)</f>
        <v>62.769152714358192</v>
      </c>
      <c r="J13" s="6">
        <f>IF('Data Sheet'!J93&gt;0,J12/'Data Sheet'!J93,0)</f>
        <v>64.997911590671777</v>
      </c>
      <c r="K13" s="6">
        <f>IF('Data Sheet'!K93&gt;0,K12/'Data Sheet'!K93,0)</f>
        <v>128.99895724713244</v>
      </c>
      <c r="L13" s="6" t="e">
        <f>IF('Data Sheet'!$B6&gt;0,'Profit &amp; Loss'!L12/'Data Sheet'!$B6,0)</f>
        <v>#REF!</v>
      </c>
      <c r="M13" s="6" t="e">
        <f>IF('Data Sheet'!$B6&gt;0,'Profit &amp; Loss'!M12/'Data Sheet'!$B6,0)</f>
        <v>#REF!</v>
      </c>
      <c r="N13" s="6" t="e">
        <f>IF('Data Sheet'!$B6&gt;0,'Profit &amp; Loss'!N12/'Data Sheet'!$B6,0)</f>
        <v>#REF!</v>
      </c>
    </row>
    <row r="14" spans="1:14" x14ac:dyDescent="0.3">
      <c r="A14" t="s">
        <v>16</v>
      </c>
      <c r="B14" s="6" t="str">
        <f>IF(B15&gt;0,B15/B13,"")</f>
        <v/>
      </c>
      <c r="C14" s="6" t="str">
        <f t="shared" ref="C14:K14" si="2">IF(C15&gt;0,C15/C13,"")</f>
        <v/>
      </c>
      <c r="D14" s="6" t="str">
        <f t="shared" si="2"/>
        <v/>
      </c>
      <c r="E14" s="6" t="str">
        <f t="shared" si="2"/>
        <v/>
      </c>
      <c r="F14" s="6" t="str">
        <f t="shared" si="2"/>
        <v/>
      </c>
      <c r="G14" s="6" t="str">
        <f t="shared" si="2"/>
        <v/>
      </c>
      <c r="H14" s="6" t="str">
        <f t="shared" si="2"/>
        <v/>
      </c>
      <c r="I14" s="6" t="str">
        <f t="shared" si="2"/>
        <v/>
      </c>
      <c r="J14" s="6">
        <f t="shared" si="2"/>
        <v>36.995804036650085</v>
      </c>
      <c r="K14" s="6">
        <f t="shared" si="2"/>
        <v>24.107171611025787</v>
      </c>
      <c r="L14" s="6" t="e">
        <f t="shared" ref="L14" si="3">IF(L13&gt;0,L15/L13,0)</f>
        <v>#REF!</v>
      </c>
      <c r="M14" s="6" t="e">
        <f>M25</f>
        <v>#REF!</v>
      </c>
      <c r="N14" s="6" t="e">
        <f>N25</f>
        <v>#REF!</v>
      </c>
    </row>
    <row r="15" spans="1:14" s="2" customFormat="1" x14ac:dyDescent="0.3">
      <c r="A15" s="2" t="s">
        <v>45</v>
      </c>
      <c r="B15" s="1">
        <f>'Data Sheet'!B90</f>
        <v>0</v>
      </c>
      <c r="C15" s="1">
        <f>'Data Sheet'!C90</f>
        <v>0</v>
      </c>
      <c r="D15" s="1">
        <f>'Data Sheet'!D90</f>
        <v>0</v>
      </c>
      <c r="E15" s="1">
        <f>'Data Sheet'!E90</f>
        <v>0</v>
      </c>
      <c r="F15" s="1">
        <f>'Data Sheet'!F90</f>
        <v>0</v>
      </c>
      <c r="G15" s="1">
        <f>'Data Sheet'!G90</f>
        <v>0</v>
      </c>
      <c r="H15" s="1">
        <f>'Data Sheet'!H90</f>
        <v>0</v>
      </c>
      <c r="I15" s="1">
        <f>'Data Sheet'!I90</f>
        <v>0</v>
      </c>
      <c r="J15" s="1">
        <f>'Data Sheet'!J90</f>
        <v>2404.65</v>
      </c>
      <c r="K15" s="1">
        <f>'Data Sheet'!K90</f>
        <v>3109.8</v>
      </c>
      <c r="L15" s="1">
        <f>'Data Sheet'!B8</f>
        <v>2994.4</v>
      </c>
      <c r="M15" s="8" t="e">
        <f>M13*M14</f>
        <v>#REF!</v>
      </c>
      <c r="N15" s="9" t="e">
        <f>N13*N14</f>
        <v>#REF!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0</v>
      </c>
      <c r="C18" s="5">
        <f>IF('Data Sheet'!C30&gt;0, 'Data Sheet'!C31/'Data Sheet'!C30, 0)</f>
        <v>0</v>
      </c>
      <c r="D18" s="5">
        <f>IF('Data Sheet'!D30&gt;0, 'Data Sheet'!D31/'Data Sheet'!D30, 0)</f>
        <v>0</v>
      </c>
      <c r="E18" s="5">
        <f>IF('Data Sheet'!E30&gt;0, 'Data Sheet'!E31/'Data Sheet'!E30, 0)</f>
        <v>0</v>
      </c>
      <c r="F18" s="5">
        <f>IF('Data Sheet'!F30&gt;0, 'Data Sheet'!F31/'Data Sheet'!F30, 0)</f>
        <v>0</v>
      </c>
      <c r="G18" s="5">
        <f>IF('Data Sheet'!G30&gt;0, 'Data Sheet'!G31/'Data Sheet'!G30, 0)</f>
        <v>0</v>
      </c>
      <c r="H18" s="5">
        <f>IF('Data Sheet'!H30&gt;0, 'Data Sheet'!H31/'Data Sheet'!H30, 0)</f>
        <v>0</v>
      </c>
      <c r="I18" s="5">
        <f>IF('Data Sheet'!I30&gt;0, 'Data Sheet'!I31/'Data Sheet'!I30, 0)</f>
        <v>0</v>
      </c>
      <c r="J18" s="5">
        <f>IF('Data Sheet'!J30&gt;0, 'Data Sheet'!J31/'Data Sheet'!J30, 0)</f>
        <v>0</v>
      </c>
      <c r="K18" s="5">
        <f>IF('Data Sheet'!K30&gt;0, 'Data Sheet'!K31/'Data Sheet'!K30, 0)</f>
        <v>1.5501306819712769E-2</v>
      </c>
    </row>
    <row r="19" spans="1:14" x14ac:dyDescent="0.3">
      <c r="A19" t="s">
        <v>18</v>
      </c>
      <c r="B19" s="5">
        <f t="shared" ref="B19:L19" si="4">IF(B6&gt;0,B6/B4,0)</f>
        <v>0</v>
      </c>
      <c r="C19" s="5">
        <f t="shared" ref="C19:K19" si="5">IF(C6&gt;0,C6/C4,0)</f>
        <v>0</v>
      </c>
      <c r="D19" s="5">
        <f t="shared" si="5"/>
        <v>0</v>
      </c>
      <c r="E19" s="5">
        <f t="shared" si="5"/>
        <v>4.6483079297317216E-2</v>
      </c>
      <c r="F19" s="5">
        <f t="shared" si="5"/>
        <v>4.3440633353475637E-2</v>
      </c>
      <c r="G19" s="5">
        <f t="shared" si="5"/>
        <v>3.711982398301486E-2</v>
      </c>
      <c r="H19" s="5">
        <f t="shared" si="5"/>
        <v>0.12380774626085223</v>
      </c>
      <c r="I19" s="5">
        <f t="shared" si="5"/>
        <v>0.13813685500732173</v>
      </c>
      <c r="J19" s="5">
        <f t="shared" si="5"/>
        <v>0.1884205060749766</v>
      </c>
      <c r="K19" s="5">
        <f t="shared" si="5"/>
        <v>0.22265859786251316</v>
      </c>
      <c r="L19" s="5">
        <f t="shared" si="4"/>
        <v>0.22265822102689967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0"/>
      <c r="B22" s="11"/>
      <c r="C22" s="11"/>
      <c r="D22" s="11"/>
      <c r="E22" s="11"/>
      <c r="F22" s="11"/>
      <c r="G22" s="11" t="s">
        <v>19</v>
      </c>
      <c r="H22" s="11" t="s">
        <v>50</v>
      </c>
      <c r="I22" s="11" t="s">
        <v>51</v>
      </c>
      <c r="J22" s="11" t="s">
        <v>52</v>
      </c>
      <c r="K22" s="11" t="s">
        <v>53</v>
      </c>
      <c r="L22" s="12" t="s">
        <v>54</v>
      </c>
      <c r="M22" s="12" t="s">
        <v>20</v>
      </c>
      <c r="N22" s="12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 t="str">
        <f>IF(B4=0,"",POWER($K4/B4,1/9)-1)</f>
        <v/>
      </c>
      <c r="I23" s="5" t="str">
        <f>IF(D4=0,"",POWER($K4/D4,1/7)-1)</f>
        <v/>
      </c>
      <c r="J23" s="5">
        <f>IF(F4=0,"",POWER($K4/F4,1/5)-1)</f>
        <v>0.68515148866196318</v>
      </c>
      <c r="K23" s="5">
        <f>IF(H4=0,"",POWER($K4/H4, 1/3)-1)</f>
        <v>0.57820266275480758</v>
      </c>
      <c r="L23" s="5">
        <f>IF(ISERROR(MAX(IF(J4=0,"",(K4-J4)/J4),IF(K4=0,"",(L4-K4)/K4))),"",MAX(IF(J4=0,"",(K4-J4)/J4),IF(K4=0,"",(L4-K4)/K4)))</f>
        <v>0.83715393402333071</v>
      </c>
      <c r="M23" s="13">
        <f>MAX(K23:L23)</f>
        <v>0.83715393402333071</v>
      </c>
      <c r="N23" s="13">
        <f>MIN(H23:L23)</f>
        <v>0.57820266275480758</v>
      </c>
    </row>
    <row r="24" spans="1:14" x14ac:dyDescent="0.3">
      <c r="G24" t="s">
        <v>18</v>
      </c>
      <c r="H24" s="5">
        <f>IF(SUM(B4:$K$4)=0,"",SUMPRODUCT(B19:$K$19,B4:$K$4)/SUM(B4:$K$4))</f>
        <v>0.17175226572356186</v>
      </c>
      <c r="I24" s="5">
        <f>IF(SUM(E4:$K$4)=0,"",SUMPRODUCT(E19:$K$19,E4:$K$4)/SUM(E4:$K$4))</f>
        <v>0.17175226572356186</v>
      </c>
      <c r="J24" s="5">
        <f>IF(SUM(G4:$K$4)=0,"",SUMPRODUCT(G19:$K$19,G4:$K$4)/SUM(G4:$K$4))</f>
        <v>0.1798281234421388</v>
      </c>
      <c r="K24" s="5">
        <f>IF(SUM(I4:$K$4)=0, "", SUMPRODUCT(I19:$K$19,I4:$K$4)/SUM(I4:$K$4))</f>
        <v>0.19482489889054525</v>
      </c>
      <c r="L24" s="5">
        <f>L19</f>
        <v>0.22265822102689967</v>
      </c>
      <c r="M24" s="13">
        <f>MAX(K24:L24)</f>
        <v>0.22265822102689967</v>
      </c>
      <c r="N24" s="13">
        <f>MIN(H24:L24)</f>
        <v>0.17175226572356186</v>
      </c>
    </row>
    <row r="25" spans="1:14" x14ac:dyDescent="0.3">
      <c r="G25" t="s">
        <v>23</v>
      </c>
      <c r="H25" s="6">
        <f>IF(ISERROR(AVERAGEIF(B14:$L14,"&gt;0")),"",AVERAGEIF(B14:$L14,"&gt;0"))</f>
        <v>30.551487823837938</v>
      </c>
      <c r="I25" s="6">
        <f>IF(ISERROR(AVERAGEIF(E14:$L14,"&gt;0")),"",AVERAGEIF(E14:$L14,"&gt;0"))</f>
        <v>30.551487823837938</v>
      </c>
      <c r="J25" s="6">
        <f>IF(ISERROR(AVERAGEIF(G14:$L14,"&gt;0")),"",AVERAGEIF(G14:$L14,"&gt;0"))</f>
        <v>30.551487823837938</v>
      </c>
      <c r="K25" s="6">
        <f>IF(ISERROR(AVERAGEIF(I14:$L14,"&gt;0")),"",AVERAGEIF(I14:$L14,"&gt;0"))</f>
        <v>30.551487823837938</v>
      </c>
      <c r="L25" s="6" t="e">
        <f>L14</f>
        <v>#REF!</v>
      </c>
      <c r="M25" s="1" t="e">
        <f>MAX(K25:L25)</f>
        <v>#REF!</v>
      </c>
      <c r="N25" s="1" t="e">
        <f>MIN(H25:L25)</f>
        <v>#REF!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7E4A8-7E95-4567-9C7B-85B4079C7A88}">
  <sheetPr codeName="Sheet2">
    <tabColor theme="2" tint="-0.499984740745262"/>
  </sheetPr>
  <dimension ref="A1"/>
  <sheetViews>
    <sheetView workbookViewId="0">
      <selection activeCell="K16" sqref="K16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7941-54E8-462D-BE44-8260A78CC3FC}">
  <sheetPr codeName="Sheet3">
    <tabColor theme="9" tint="-0.249977111117893"/>
  </sheetPr>
  <dimension ref="A2:X118"/>
  <sheetViews>
    <sheetView showGridLines="0" zoomScaleNormal="100" workbookViewId="0">
      <pane ySplit="3" topLeftCell="A4" activePane="bottomLeft" state="frozen"/>
      <selection pane="bottomLeft" activeCell="D19" sqref="D19"/>
    </sheetView>
  </sheetViews>
  <sheetFormatPr defaultRowHeight="14.4" x14ac:dyDescent="0.3"/>
  <cols>
    <col min="1" max="1" width="2" bestFit="1" customWidth="1"/>
    <col min="2" max="2" width="23.88671875" customWidth="1"/>
    <col min="3" max="9" width="11.88671875" bestFit="1" customWidth="1"/>
    <col min="10" max="10" width="13.109375" bestFit="1" customWidth="1"/>
    <col min="11" max="11" width="10.44140625" bestFit="1" customWidth="1"/>
    <col min="13" max="13" width="12.21875" bestFit="1" customWidth="1"/>
    <col min="14" max="15" width="8.44140625" bestFit="1" customWidth="1"/>
    <col min="16" max="16" width="10.5546875" bestFit="1" customWidth="1"/>
    <col min="17" max="17" width="7" bestFit="1" customWidth="1"/>
    <col min="18" max="18" width="10.5546875" bestFit="1" customWidth="1"/>
    <col min="19" max="21" width="8.44140625" bestFit="1" customWidth="1"/>
    <col min="22" max="24" width="9.44140625" bestFit="1" customWidth="1"/>
  </cols>
  <sheetData>
    <row r="2" spans="1:10" x14ac:dyDescent="0.3">
      <c r="B2" s="78" t="str">
        <f>"Historical Financial Statement - "&amp;UPDATE</f>
        <v>Historical Financial Statement - WAAREE ENERGIES LTD</v>
      </c>
      <c r="C2" s="78"/>
      <c r="D2" s="78"/>
      <c r="E2" s="78"/>
      <c r="F2" s="78"/>
      <c r="G2" s="78"/>
      <c r="H2" s="78"/>
      <c r="I2" s="78"/>
      <c r="J2" s="78"/>
    </row>
    <row r="3" spans="1:10" x14ac:dyDescent="0.3">
      <c r="B3" s="17" t="s">
        <v>75</v>
      </c>
      <c r="C3" s="18">
        <f>'Data Sheet'!E16</f>
        <v>43921</v>
      </c>
      <c r="D3" s="18">
        <f>'Data Sheet'!F16</f>
        <v>44286</v>
      </c>
      <c r="E3" s="18">
        <f>'Data Sheet'!G16</f>
        <v>44651</v>
      </c>
      <c r="F3" s="18">
        <f>'Data Sheet'!H16</f>
        <v>45016</v>
      </c>
      <c r="G3" s="18">
        <f>'Data Sheet'!I16</f>
        <v>45382</v>
      </c>
      <c r="H3" s="18">
        <f>'Data Sheet'!J16</f>
        <v>45747</v>
      </c>
      <c r="I3" s="18">
        <f>'Data Sheet'!K16</f>
        <v>46112</v>
      </c>
      <c r="J3" s="19" t="s">
        <v>76</v>
      </c>
    </row>
    <row r="5" spans="1:10" x14ac:dyDescent="0.3">
      <c r="A5" t="s">
        <v>78</v>
      </c>
      <c r="B5" s="24" t="s">
        <v>77</v>
      </c>
      <c r="C5" s="24"/>
      <c r="D5" s="24"/>
      <c r="E5" s="24"/>
      <c r="F5" s="24"/>
      <c r="G5" s="24"/>
      <c r="H5" s="24"/>
      <c r="I5" s="24"/>
      <c r="J5" s="24"/>
    </row>
    <row r="6" spans="1:10" x14ac:dyDescent="0.3">
      <c r="B6" t="s">
        <v>6</v>
      </c>
      <c r="C6" s="25">
        <f>IFERROR('Data Sheet'!E17,0)</f>
        <v>1995.78</v>
      </c>
      <c r="D6" s="25">
        <f>IFERROR('Data Sheet'!F17,0)</f>
        <v>1952.78</v>
      </c>
      <c r="E6" s="25">
        <f>IFERROR('Data Sheet'!G17,0)</f>
        <v>2854.27</v>
      </c>
      <c r="F6" s="25">
        <f>IFERROR('Data Sheet'!H17,0)</f>
        <v>6750.87</v>
      </c>
      <c r="G6" s="25">
        <f>IFERROR('Data Sheet'!I17,0)</f>
        <v>11397.61</v>
      </c>
      <c r="H6" s="25">
        <f>IFERROR('Data Sheet'!J17,0)</f>
        <v>14444.5</v>
      </c>
      <c r="I6" s="25">
        <f>IFERROR('Data Sheet'!K17,0)</f>
        <v>26536.77</v>
      </c>
      <c r="J6" s="25">
        <f>IFERROR(SUM('Data Sheet'!H42:K42),0)</f>
        <v>26536.77</v>
      </c>
    </row>
    <row r="7" spans="1:10" x14ac:dyDescent="0.3">
      <c r="B7" s="21" t="s">
        <v>22</v>
      </c>
      <c r="C7" s="22"/>
      <c r="D7" s="22">
        <f t="shared" ref="D7:J7" si="0">IFERROR(D6/C6-1,0)</f>
        <v>-2.1545460922546611E-2</v>
      </c>
      <c r="E7" s="22">
        <f t="shared" si="0"/>
        <v>0.46164442487120927</v>
      </c>
      <c r="F7" s="22">
        <f t="shared" si="0"/>
        <v>1.3651826911959977</v>
      </c>
      <c r="G7" s="22">
        <f t="shared" si="0"/>
        <v>0.68831720948559227</v>
      </c>
      <c r="H7" s="22">
        <f t="shared" si="0"/>
        <v>0.26732709752307704</v>
      </c>
      <c r="I7" s="22">
        <f t="shared" si="0"/>
        <v>0.83715393402333071</v>
      </c>
      <c r="J7" s="22">
        <f t="shared" si="0"/>
        <v>0</v>
      </c>
    </row>
    <row r="9" spans="1:10" x14ac:dyDescent="0.3">
      <c r="B9" t="s">
        <v>79</v>
      </c>
      <c r="C9" s="25">
        <f>IFERROR(SUM('Data Sheet'!E18,'Data Sheet'!E20:E22)-1*'Data Sheet'!E19,0)</f>
        <v>1831.4800000000002</v>
      </c>
      <c r="D9" s="25">
        <f>IFERROR(SUM('Data Sheet'!F18,'Data Sheet'!F20:F22)-1*'Data Sheet'!F19,0)</f>
        <v>1808.55</v>
      </c>
      <c r="E9" s="25">
        <f>IFERROR(SUM('Data Sheet'!G18,'Data Sheet'!G20:G22)-1*'Data Sheet'!G19,0)</f>
        <v>2666.06</v>
      </c>
      <c r="F9" s="25">
        <f>IFERROR(SUM('Data Sheet'!H18,'Data Sheet'!H20:H22)-1*'Data Sheet'!H19,0)</f>
        <v>5737.92</v>
      </c>
      <c r="G9" s="25">
        <f>IFERROR(SUM('Data Sheet'!I18,'Data Sheet'!I20:I22)-1*'Data Sheet'!I19,0)</f>
        <v>9192.6</v>
      </c>
      <c r="H9" s="25">
        <f>IFERROR(SUM('Data Sheet'!J18,'Data Sheet'!J20:J22)-1*'Data Sheet'!J19,0)</f>
        <v>10843.080000000002</v>
      </c>
      <c r="I9" s="25">
        <f>IFERROR(SUM('Data Sheet'!K18,'Data Sheet'!K20:K22)-1*'Data Sheet'!K19,0)</f>
        <v>18680.189999999999</v>
      </c>
      <c r="J9" s="25">
        <f>IFERROR(SUM('Data Sheet'!H43:K43),0)</f>
        <v>20628.14</v>
      </c>
    </row>
    <row r="10" spans="1:10" x14ac:dyDescent="0.3">
      <c r="B10" s="21" t="s">
        <v>80</v>
      </c>
      <c r="C10" s="22">
        <f>IFERROR(C9/#REF!-1,0)</f>
        <v>0</v>
      </c>
      <c r="D10" s="22">
        <f t="shared" ref="D10:J10" si="1">IFERROR(D9/C9-1,0)</f>
        <v>-1.2519929237556626E-2</v>
      </c>
      <c r="E10" s="22">
        <f t="shared" si="1"/>
        <v>0.47414226866827014</v>
      </c>
      <c r="F10" s="22">
        <f t="shared" si="1"/>
        <v>1.1522096276902998</v>
      </c>
      <c r="G10" s="22">
        <f t="shared" si="1"/>
        <v>0.6020788020746195</v>
      </c>
      <c r="H10" s="22">
        <f t="shared" si="1"/>
        <v>0.17954441616082506</v>
      </c>
      <c r="I10" s="22">
        <f t="shared" si="1"/>
        <v>0.72277526311712137</v>
      </c>
      <c r="J10" s="22">
        <f t="shared" si="1"/>
        <v>0.1042789179339183</v>
      </c>
    </row>
    <row r="12" spans="1:10" x14ac:dyDescent="0.3">
      <c r="B12" s="32" t="s">
        <v>81</v>
      </c>
      <c r="C12" s="33">
        <f t="shared" ref="C12:J12" si="2">C6-C9</f>
        <v>164.29999999999973</v>
      </c>
      <c r="D12" s="33">
        <f t="shared" si="2"/>
        <v>144.23000000000002</v>
      </c>
      <c r="E12" s="33">
        <f t="shared" si="2"/>
        <v>188.21000000000004</v>
      </c>
      <c r="F12" s="33">
        <f t="shared" si="2"/>
        <v>1012.9499999999998</v>
      </c>
      <c r="G12" s="33">
        <f t="shared" si="2"/>
        <v>2205.0100000000002</v>
      </c>
      <c r="H12" s="33">
        <f t="shared" si="2"/>
        <v>3601.4199999999983</v>
      </c>
      <c r="I12" s="33">
        <f t="shared" si="2"/>
        <v>7856.5800000000017</v>
      </c>
      <c r="J12" s="33">
        <f t="shared" si="2"/>
        <v>5908.630000000001</v>
      </c>
    </row>
    <row r="13" spans="1:10" x14ac:dyDescent="0.3">
      <c r="B13" s="21" t="s">
        <v>88</v>
      </c>
      <c r="C13" s="22">
        <f>IFERROR(C12/#REF!-1,0)</f>
        <v>0</v>
      </c>
      <c r="D13" s="22">
        <f t="shared" ref="D13" si="3">IFERROR(D12/C12-1,0)</f>
        <v>-0.12215459525258521</v>
      </c>
      <c r="E13" s="22">
        <f t="shared" ref="E13" si="4">IFERROR(E12/D12-1,0)</f>
        <v>0.30492962629134035</v>
      </c>
      <c r="F13" s="22">
        <f t="shared" ref="F13" si="5">IFERROR(F12/E12-1,0)</f>
        <v>4.3820200839487784</v>
      </c>
      <c r="G13" s="22">
        <f t="shared" ref="G13" si="6">IFERROR(G12/F12-1,0)</f>
        <v>1.1768201786860168</v>
      </c>
      <c r="H13" s="22">
        <f t="shared" ref="H13" si="7">IFERROR(H12/G12-1,0)</f>
        <v>0.63328964494491991</v>
      </c>
      <c r="I13" s="22">
        <f t="shared" ref="I13" si="8">IFERROR(I12/H12-1,0)</f>
        <v>1.1815228437671821</v>
      </c>
      <c r="J13" s="22">
        <f t="shared" ref="J13" si="9">IFERROR(J12/I12-1,0)</f>
        <v>-0.24793867051566976</v>
      </c>
    </row>
    <row r="15" spans="1:10" x14ac:dyDescent="0.3">
      <c r="B15" t="s">
        <v>82</v>
      </c>
      <c r="C15" s="25">
        <f>IFERROR(SUM('Data Sheet'!E23:E24),0)</f>
        <v>71.53</v>
      </c>
      <c r="D15" s="25">
        <f>IFERROR(SUM('Data Sheet'!F23:F24),0)</f>
        <v>59.4</v>
      </c>
      <c r="E15" s="25">
        <f>IFERROR(SUM('Data Sheet'!G23:G24),0)</f>
        <v>82.259999999999991</v>
      </c>
      <c r="F15" s="25">
        <f>IFERROR(SUM('Data Sheet'!H23:H24),0)</f>
        <v>177.14000000000001</v>
      </c>
      <c r="G15" s="25">
        <f>IFERROR(SUM('Data Sheet'!I23:I24),0)</f>
        <v>630.58000000000004</v>
      </c>
      <c r="H15" s="25">
        <f>IFERROR(SUM('Data Sheet'!J23:J24),0)</f>
        <v>879.78</v>
      </c>
      <c r="I15" s="25">
        <f>IFERROR(SUM('Data Sheet'!K23:K24),0)</f>
        <v>1947.94</v>
      </c>
      <c r="J15" s="25">
        <v>0</v>
      </c>
    </row>
    <row r="16" spans="1:10" x14ac:dyDescent="0.3">
      <c r="B16" s="21" t="s">
        <v>84</v>
      </c>
      <c r="C16" s="22">
        <f>IFERROR(C15/#REF!-1,0)</f>
        <v>0</v>
      </c>
      <c r="D16" s="22">
        <f t="shared" ref="D16" si="10">IFERROR(D15/C15-1,0)</f>
        <v>-0.16957919753949391</v>
      </c>
      <c r="E16" s="22">
        <f t="shared" ref="E16" si="11">IFERROR(E15/D15-1,0)</f>
        <v>0.38484848484848477</v>
      </c>
      <c r="F16" s="22">
        <f t="shared" ref="F16" si="12">IFERROR(F15/E15-1,0)</f>
        <v>1.1534159980549483</v>
      </c>
      <c r="G16" s="22">
        <f t="shared" ref="G16" si="13">IFERROR(G15/F15-1,0)</f>
        <v>2.5597832223100374</v>
      </c>
      <c r="H16" s="22">
        <f t="shared" ref="H16" si="14">IFERROR(H15/G15-1,0)</f>
        <v>0.39519172825018223</v>
      </c>
      <c r="I16" s="22">
        <f t="shared" ref="I16" si="15">IFERROR(I15/H15-1,0)</f>
        <v>1.2141217122462433</v>
      </c>
      <c r="J16" s="22">
        <f t="shared" ref="J16" si="16">IFERROR(J15/I15-1,0)</f>
        <v>-1</v>
      </c>
    </row>
    <row r="18" spans="2:24" x14ac:dyDescent="0.3">
      <c r="B18" s="32" t="s">
        <v>83</v>
      </c>
      <c r="C18" s="33">
        <f t="shared" ref="C18:J18" si="17">C12-C15</f>
        <v>92.769999999999726</v>
      </c>
      <c r="D18" s="33">
        <f t="shared" si="17"/>
        <v>84.830000000000013</v>
      </c>
      <c r="E18" s="33">
        <f t="shared" si="17"/>
        <v>105.95000000000005</v>
      </c>
      <c r="F18" s="33">
        <f t="shared" si="17"/>
        <v>835.80999999999983</v>
      </c>
      <c r="G18" s="33">
        <f t="shared" si="17"/>
        <v>1574.4300000000003</v>
      </c>
      <c r="H18" s="33">
        <f t="shared" si="17"/>
        <v>2721.6399999999985</v>
      </c>
      <c r="I18" s="33">
        <f t="shared" si="17"/>
        <v>5908.6400000000012</v>
      </c>
      <c r="J18" s="33">
        <f t="shared" si="17"/>
        <v>5908.630000000001</v>
      </c>
    </row>
    <row r="19" spans="2:24" x14ac:dyDescent="0.3">
      <c r="B19" s="22" t="s">
        <v>85</v>
      </c>
      <c r="C19" s="22">
        <f>IFERROR(C18/#REF!-1,0)</f>
        <v>0</v>
      </c>
      <c r="D19" s="22">
        <f t="shared" ref="D19" si="18">IFERROR(D18/C18-1,0)</f>
        <v>-8.5588013366387217E-2</v>
      </c>
      <c r="E19" s="22">
        <f t="shared" ref="E19" si="19">IFERROR(E18/D18-1,0)</f>
        <v>0.24896852528586622</v>
      </c>
      <c r="F19" s="22">
        <f t="shared" ref="F19" si="20">IFERROR(F18/E18-1,0)</f>
        <v>6.8887210948560593</v>
      </c>
      <c r="G19" s="22">
        <f t="shared" ref="G19" si="21">IFERROR(G18/F18-1,0)</f>
        <v>0.88371759131860195</v>
      </c>
      <c r="H19" s="22">
        <f t="shared" ref="H19" si="22">IFERROR(H18/G18-1,0)</f>
        <v>0.72865100385536219</v>
      </c>
      <c r="I19" s="22">
        <f t="shared" ref="I19" si="23">IFERROR(I18/H18-1,0)</f>
        <v>1.1709851413118577</v>
      </c>
      <c r="J19" s="22">
        <f t="shared" ref="J19" si="24">IFERROR(J18/I18-1,0)</f>
        <v>-1.6924368383408606E-6</v>
      </c>
    </row>
    <row r="20" spans="2:24" x14ac:dyDescent="0.3">
      <c r="B20" s="22"/>
      <c r="C20" s="22"/>
      <c r="D20" s="22"/>
      <c r="E20" s="22"/>
      <c r="F20" s="22"/>
      <c r="G20" s="22"/>
      <c r="H20" s="22"/>
      <c r="I20" s="22"/>
      <c r="J20" s="22"/>
    </row>
    <row r="21" spans="2:24" x14ac:dyDescent="0.3">
      <c r="B21" t="s">
        <v>202</v>
      </c>
      <c r="C21">
        <f>IFERROR('Data Sheet'!E25,0)</f>
        <v>25.01</v>
      </c>
      <c r="D21">
        <f>IFERROR('Data Sheet'!F25,0)</f>
        <v>44.65</v>
      </c>
      <c r="E21">
        <f>IFERROR('Data Sheet'!G25,0)</f>
        <v>96.58</v>
      </c>
      <c r="F21">
        <f>IFERROR('Data Sheet'!H25,0)</f>
        <v>87.74</v>
      </c>
      <c r="G21">
        <f>IFERROR('Data Sheet'!I25,0)</f>
        <v>576.49</v>
      </c>
      <c r="H21">
        <f>IFERROR('Data Sheet'!J25,0)</f>
        <v>397.54</v>
      </c>
      <c r="I21">
        <f>IFERROR('Data Sheet'!K25,0)</f>
        <v>413.37</v>
      </c>
      <c r="J21">
        <f>IFERROR('Data Sheet'!L25,0)</f>
        <v>0</v>
      </c>
    </row>
    <row r="23" spans="2:24" x14ac:dyDescent="0.3">
      <c r="B23" t="s">
        <v>11</v>
      </c>
      <c r="C23" s="25">
        <f>IFERROR('Data Sheet'!E27,0)</f>
        <v>33.71</v>
      </c>
      <c r="D23" s="25">
        <f>IFERROR('Data Sheet'!F27,0)</f>
        <v>30.92</v>
      </c>
      <c r="E23" s="25">
        <f>IFERROR('Data Sheet'!G27,0)</f>
        <v>40.880000000000003</v>
      </c>
      <c r="F23" s="25">
        <f>IFERROR('Data Sheet'!H27,0)</f>
        <v>82.27</v>
      </c>
      <c r="G23" s="25">
        <f>IFERROR('Data Sheet'!I27,0)</f>
        <v>139.91</v>
      </c>
      <c r="H23" s="25">
        <f>IFERROR('Data Sheet'!J27,0)</f>
        <v>152.09</v>
      </c>
      <c r="I23" s="25">
        <f>IFERROR('Data Sheet'!K27,0)</f>
        <v>280.5</v>
      </c>
      <c r="J23" s="25">
        <f>IFERROR(SUM('Data Sheet'!H46:K46),0)</f>
        <v>280.5</v>
      </c>
    </row>
    <row r="24" spans="2:24" x14ac:dyDescent="0.3">
      <c r="B24" s="22" t="s">
        <v>86</v>
      </c>
      <c r="C24" s="22">
        <f>IFERROR(C23/#REF!-1,0)</f>
        <v>0</v>
      </c>
      <c r="D24" s="22">
        <f t="shared" ref="D24" si="25">IFERROR(D23/C23-1,0)</f>
        <v>-8.2764758231978597E-2</v>
      </c>
      <c r="E24" s="22">
        <f t="shared" ref="E24" si="26">IFERROR(E23/D23-1,0)</f>
        <v>0.32212160413971547</v>
      </c>
      <c r="F24" s="22">
        <f t="shared" ref="F24" si="27">IFERROR(F23/E23-1,0)</f>
        <v>1.0124755381604693</v>
      </c>
      <c r="G24" s="22">
        <f t="shared" ref="G24" si="28">IFERROR(G23/F23-1,0)</f>
        <v>0.70061991005226698</v>
      </c>
      <c r="H24" s="22">
        <f t="shared" ref="H24" si="29">IFERROR(H23/G23-1,0)</f>
        <v>8.7055964548638398E-2</v>
      </c>
      <c r="I24" s="22">
        <f t="shared" ref="I24" si="30">IFERROR(I23/H23-1,0)</f>
        <v>0.84430271549740277</v>
      </c>
      <c r="J24" s="22">
        <f t="shared" ref="J24" si="31">IFERROR(J23/I23-1,0)</f>
        <v>0</v>
      </c>
    </row>
    <row r="25" spans="2:24" x14ac:dyDescent="0.3">
      <c r="M25" t="s">
        <v>9</v>
      </c>
      <c r="N25" s="25">
        <f>IFERROR('Data Sheet'!B25,0)</f>
        <v>0</v>
      </c>
      <c r="O25" s="25">
        <f>IFERROR('Data Sheet'!C25,0)</f>
        <v>0</v>
      </c>
      <c r="P25" s="25">
        <f>IFERROR('Data Sheet'!D25,0)</f>
        <v>0</v>
      </c>
      <c r="Q25" s="25">
        <f>IFERROR('Data Sheet'!E25,0)</f>
        <v>25.01</v>
      </c>
      <c r="R25" s="25">
        <f>IFERROR('Data Sheet'!F25,0)</f>
        <v>44.65</v>
      </c>
      <c r="S25" s="25">
        <f>IFERROR('Data Sheet'!G25,0)</f>
        <v>96.58</v>
      </c>
      <c r="T25" s="25">
        <f>IFERROR('Data Sheet'!H25,0)</f>
        <v>87.74</v>
      </c>
      <c r="U25" s="25">
        <f>IFERROR('Data Sheet'!I25,0)</f>
        <v>576.49</v>
      </c>
      <c r="V25" s="25">
        <f>IFERROR('Data Sheet'!J25,0)</f>
        <v>397.54</v>
      </c>
      <c r="W25" s="25">
        <f>IFERROR('Data Sheet'!K25,0)</f>
        <v>413.37</v>
      </c>
      <c r="X25" s="25">
        <f>IFERROR(SUM('Data Sheet'!H44:K44),0)</f>
        <v>413.38</v>
      </c>
    </row>
    <row r="26" spans="2:24" x14ac:dyDescent="0.3">
      <c r="B26" t="s">
        <v>10</v>
      </c>
      <c r="C26" s="25">
        <f>IFERROR('Data Sheet'!E26,0)</f>
        <v>27.13</v>
      </c>
      <c r="D26" s="25">
        <f>IFERROR('Data Sheet'!F26,0)</f>
        <v>28.66</v>
      </c>
      <c r="E26" s="25">
        <f>IFERROR('Data Sheet'!G26,0)</f>
        <v>43.27</v>
      </c>
      <c r="F26" s="25">
        <f>IFERROR('Data Sheet'!H26,0)</f>
        <v>164.13</v>
      </c>
      <c r="G26" s="25">
        <f>IFERROR('Data Sheet'!I26,0)</f>
        <v>276.81</v>
      </c>
      <c r="H26" s="25">
        <f>IFERROR('Data Sheet'!J26,0)</f>
        <v>402.45</v>
      </c>
      <c r="I26" s="25">
        <f>IFERROR('Data Sheet'!K26,0)</f>
        <v>989.72</v>
      </c>
      <c r="J26" s="25">
        <v>0</v>
      </c>
    </row>
    <row r="27" spans="2:24" x14ac:dyDescent="0.3">
      <c r="B27" s="22" t="s">
        <v>87</v>
      </c>
      <c r="C27" s="22">
        <f>IFERROR(C26/#REF!-1,0)</f>
        <v>0</v>
      </c>
      <c r="D27" s="22">
        <f t="shared" ref="D27" si="32">IFERROR(D26/C26-1,0)</f>
        <v>5.6395134537412517E-2</v>
      </c>
      <c r="E27" s="22">
        <f t="shared" ref="E27" si="33">IFERROR(E26/D26-1,0)</f>
        <v>0.50976971388695058</v>
      </c>
      <c r="F27" s="22">
        <f t="shared" ref="F27" si="34">IFERROR(F26/E26-1,0)</f>
        <v>2.7931592327247512</v>
      </c>
      <c r="G27" s="22">
        <f t="shared" ref="G27" si="35">IFERROR(G26/F26-1,0)</f>
        <v>0.6865289709376714</v>
      </c>
      <c r="H27" s="22">
        <f t="shared" ref="H27" si="36">IFERROR(H26/G26-1,0)</f>
        <v>0.45388533651240914</v>
      </c>
      <c r="I27" s="22">
        <f t="shared" ref="I27" si="37">IFERROR(I26/H26-1,0)</f>
        <v>1.459237172319543</v>
      </c>
      <c r="J27" s="22">
        <f t="shared" ref="J27" si="38">IFERROR(J26/I26-1,0)</f>
        <v>-1</v>
      </c>
    </row>
    <row r="28" spans="2:24" x14ac:dyDescent="0.3">
      <c r="B28" s="22"/>
      <c r="C28" s="22"/>
      <c r="D28" s="22"/>
      <c r="E28" s="22"/>
      <c r="F28" s="22"/>
      <c r="G28" s="22"/>
      <c r="H28" s="22"/>
      <c r="I28" s="22"/>
      <c r="J28" s="22"/>
    </row>
    <row r="29" spans="2:24" x14ac:dyDescent="0.3">
      <c r="B29" s="36" t="s">
        <v>168</v>
      </c>
      <c r="C29" s="35">
        <f t="shared" ref="C29:J29" si="39">C18-C26</f>
        <v>65.639999999999731</v>
      </c>
      <c r="D29" s="35">
        <f t="shared" si="39"/>
        <v>56.170000000000016</v>
      </c>
      <c r="E29" s="35">
        <f t="shared" si="39"/>
        <v>62.680000000000042</v>
      </c>
      <c r="F29" s="35">
        <f t="shared" si="39"/>
        <v>671.67999999999984</v>
      </c>
      <c r="G29" s="35">
        <f t="shared" si="39"/>
        <v>1297.6200000000003</v>
      </c>
      <c r="H29" s="35">
        <f t="shared" si="39"/>
        <v>2319.1899999999987</v>
      </c>
      <c r="I29" s="35">
        <f t="shared" si="39"/>
        <v>4918.920000000001</v>
      </c>
      <c r="J29" s="35">
        <f t="shared" si="39"/>
        <v>5908.630000000001</v>
      </c>
    </row>
    <row r="30" spans="2:24" x14ac:dyDescent="0.3">
      <c r="B30" s="22" t="s">
        <v>169</v>
      </c>
      <c r="C30" s="22">
        <f>IFERROR(C29/#REF!-1,0)</f>
        <v>0</v>
      </c>
      <c r="D30" s="22">
        <f t="shared" ref="D30" si="40">IFERROR(D29/C29-1,0)</f>
        <v>-0.14427178549664466</v>
      </c>
      <c r="E30" s="22">
        <f t="shared" ref="E30" si="41">IFERROR(E29/D29-1,0)</f>
        <v>0.1158981662809333</v>
      </c>
      <c r="F30" s="22">
        <f t="shared" ref="F30" si="42">IFERROR(F29/E29-1,0)</f>
        <v>9.7160178685385983</v>
      </c>
      <c r="G30" s="22">
        <f t="shared" ref="G30" si="43">IFERROR(G29/F29-1,0)</f>
        <v>0.93190209623630405</v>
      </c>
      <c r="H30" s="22">
        <f t="shared" ref="H30" si="44">IFERROR(H29/G29-1,0)</f>
        <v>0.78726437631972224</v>
      </c>
      <c r="I30" s="22">
        <f t="shared" ref="I30" si="45">IFERROR(I29/H29-1,0)</f>
        <v>1.1209646471397359</v>
      </c>
      <c r="J30" s="22">
        <f t="shared" ref="J30" si="46">IFERROR(J29/I29-1,0)</f>
        <v>0.20120473599895905</v>
      </c>
    </row>
    <row r="31" spans="2:24" x14ac:dyDescent="0.3">
      <c r="B31" s="34"/>
    </row>
    <row r="32" spans="2:24" x14ac:dyDescent="0.3">
      <c r="B32" s="32" t="s">
        <v>89</v>
      </c>
      <c r="C32" s="33">
        <f t="shared" ref="C32:J32" si="47">C18-C23-C26+C21</f>
        <v>56.939999999999728</v>
      </c>
      <c r="D32" s="33">
        <f t="shared" si="47"/>
        <v>69.900000000000006</v>
      </c>
      <c r="E32" s="33">
        <f t="shared" si="47"/>
        <v>118.38000000000005</v>
      </c>
      <c r="F32" s="33">
        <f t="shared" si="47"/>
        <v>677.14999999999986</v>
      </c>
      <c r="G32" s="33">
        <f t="shared" si="47"/>
        <v>1734.2000000000003</v>
      </c>
      <c r="H32" s="33">
        <f t="shared" si="47"/>
        <v>2564.6399999999985</v>
      </c>
      <c r="I32" s="33">
        <f t="shared" si="47"/>
        <v>5051.7900000000009</v>
      </c>
      <c r="J32" s="33">
        <f t="shared" si="47"/>
        <v>5628.130000000001</v>
      </c>
      <c r="K32" s="34"/>
    </row>
    <row r="33" spans="2:10" x14ac:dyDescent="0.3">
      <c r="B33" s="22" t="s">
        <v>90</v>
      </c>
      <c r="C33" s="22">
        <f>IFERROR(C32/#REF!-1,0)</f>
        <v>0</v>
      </c>
      <c r="D33" s="22">
        <f t="shared" ref="D33" si="48">IFERROR(D32/C32-1,0)</f>
        <v>0.22760800842993212</v>
      </c>
      <c r="E33" s="22">
        <f t="shared" ref="E33" si="49">IFERROR(E32/D32-1,0)</f>
        <v>0.69356223175965726</v>
      </c>
      <c r="F33" s="22">
        <f t="shared" ref="F33" si="50">IFERROR(F32/E32-1,0)</f>
        <v>4.7201385369150159</v>
      </c>
      <c r="G33" s="22">
        <f t="shared" ref="G33" si="51">IFERROR(G32/F32-1,0)</f>
        <v>1.5610278372591018</v>
      </c>
      <c r="H33" s="22">
        <f t="shared" ref="H33" si="52">IFERROR(H32/G32-1,0)</f>
        <v>0.47886056971514135</v>
      </c>
      <c r="I33" s="22">
        <f t="shared" ref="I33" si="53">IFERROR(I32/H32-1,0)</f>
        <v>0.96978523301516151</v>
      </c>
      <c r="J33" s="22">
        <f t="shared" ref="J33" si="54">IFERROR(J32/I32-1,0)</f>
        <v>0.11408629416503846</v>
      </c>
    </row>
    <row r="35" spans="2:10" x14ac:dyDescent="0.3">
      <c r="B35" s="23" t="s">
        <v>13</v>
      </c>
      <c r="C35" s="25">
        <f>IFERROR('Data Sheet'!E29,0)</f>
        <v>17.920000000000002</v>
      </c>
      <c r="D35" s="25">
        <f>IFERROR('Data Sheet'!F29,0)</f>
        <v>21.72</v>
      </c>
      <c r="E35" s="25">
        <f>IFERROR('Data Sheet'!G29,0)</f>
        <v>38.72</v>
      </c>
      <c r="F35" s="25">
        <f>IFERROR('Data Sheet'!H29,0)</f>
        <v>176.88</v>
      </c>
      <c r="G35" s="25">
        <f>IFERROR('Data Sheet'!I29,0)</f>
        <v>459.82</v>
      </c>
      <c r="H35" s="25">
        <f>IFERROR('Data Sheet'!J29,0)</f>
        <v>636.51</v>
      </c>
      <c r="I35" s="25">
        <f>IFERROR('Data Sheet'!K29,0)</f>
        <v>1167.6400000000001</v>
      </c>
      <c r="J35" s="25">
        <f>IFERROR(SUM('Data Sheet'!H48:K48),0)</f>
        <v>1167.6400000000001</v>
      </c>
    </row>
    <row r="36" spans="2:10" x14ac:dyDescent="0.3">
      <c r="B36" s="22" t="s">
        <v>91</v>
      </c>
      <c r="C36" s="22">
        <f>IFERROR(C35/#REF!-1,0)</f>
        <v>0</v>
      </c>
      <c r="D36" s="22">
        <f t="shared" ref="D36" si="55">IFERROR(D35/C35-1,0)</f>
        <v>0.21205357142857117</v>
      </c>
      <c r="E36" s="22">
        <f t="shared" ref="E36" si="56">IFERROR(E35/D35-1,0)</f>
        <v>0.78268876611418059</v>
      </c>
      <c r="F36" s="22">
        <f t="shared" ref="F36" si="57">IFERROR(F35/E35-1,0)</f>
        <v>3.5681818181818183</v>
      </c>
      <c r="G36" s="22">
        <f t="shared" ref="G36" si="58">IFERROR(G35/F35-1,0)</f>
        <v>1.5996155585707825</v>
      </c>
      <c r="H36" s="22">
        <f t="shared" ref="H36" si="59">IFERROR(H35/G35-1,0)</f>
        <v>0.3842590578922187</v>
      </c>
      <c r="I36" s="22">
        <f t="shared" ref="I36" si="60">IFERROR(I35/H35-1,0)</f>
        <v>0.83444093572763989</v>
      </c>
      <c r="J36" s="22">
        <f t="shared" ref="J36" si="61">IFERROR(J35/I35-1,0)</f>
        <v>0</v>
      </c>
    </row>
    <row r="38" spans="2:10" x14ac:dyDescent="0.3">
      <c r="B38" s="32" t="s">
        <v>92</v>
      </c>
      <c r="C38" s="33">
        <f t="shared" ref="C38:J38" si="62">C32-C35</f>
        <v>39.019999999999726</v>
      </c>
      <c r="D38" s="33">
        <f t="shared" si="62"/>
        <v>48.180000000000007</v>
      </c>
      <c r="E38" s="33">
        <f t="shared" si="62"/>
        <v>79.660000000000053</v>
      </c>
      <c r="F38" s="33">
        <f t="shared" si="62"/>
        <v>500.26999999999987</v>
      </c>
      <c r="G38" s="33">
        <f t="shared" si="62"/>
        <v>1274.3800000000003</v>
      </c>
      <c r="H38" s="33">
        <f t="shared" si="62"/>
        <v>1928.1299999999985</v>
      </c>
      <c r="I38" s="33">
        <f t="shared" si="62"/>
        <v>3884.1500000000005</v>
      </c>
      <c r="J38" s="33">
        <f t="shared" si="62"/>
        <v>4460.4900000000007</v>
      </c>
    </row>
    <row r="39" spans="2:10" x14ac:dyDescent="0.3">
      <c r="B39" s="22" t="s">
        <v>93</v>
      </c>
      <c r="C39" s="22">
        <f>IFERROR(C38/#REF!-1,0)</f>
        <v>0</v>
      </c>
      <c r="D39" s="22">
        <f t="shared" ref="D39" si="63">IFERROR(D38/C38-1,0)</f>
        <v>0.23475140953358142</v>
      </c>
      <c r="E39" s="22">
        <f t="shared" ref="E39" si="64">IFERROR(E38/D38-1,0)</f>
        <v>0.65338314653383245</v>
      </c>
      <c r="F39" s="22">
        <f t="shared" ref="F39" si="65">IFERROR(F38/E38-1,0)</f>
        <v>5.2800652774290677</v>
      </c>
      <c r="G39" s="22">
        <f t="shared" ref="G39" si="66">IFERROR(G38/F38-1,0)</f>
        <v>1.547384412417296</v>
      </c>
      <c r="H39" s="22">
        <f t="shared" ref="H39" si="67">IFERROR(H38/G38-1,0)</f>
        <v>0.51299455421459683</v>
      </c>
      <c r="I39" s="22">
        <f t="shared" ref="I39" si="68">IFERROR(I38/H38-1,0)</f>
        <v>1.0144647923117236</v>
      </c>
      <c r="J39" s="22">
        <f t="shared" ref="J39" si="69">IFERROR(J38/I38-1,0)</f>
        <v>0.14838252899604809</v>
      </c>
    </row>
    <row r="41" spans="2:10" x14ac:dyDescent="0.3">
      <c r="B41" t="s">
        <v>94</v>
      </c>
      <c r="C41" s="25">
        <f>IFERROR('Data Sheet'!E93,0)</f>
        <v>19.71</v>
      </c>
      <c r="D41" s="25">
        <f>IFERROR('Data Sheet'!F93,0)</f>
        <v>19.71</v>
      </c>
      <c r="E41" s="25">
        <f>IFERROR('Data Sheet'!G93,0)</f>
        <v>19.71</v>
      </c>
      <c r="F41" s="25">
        <f>IFERROR('Data Sheet'!H93,0)</f>
        <v>19.71</v>
      </c>
      <c r="G41" s="25">
        <f>IFERROR('Data Sheet'!I93,0)</f>
        <v>19.71</v>
      </c>
      <c r="H41" s="25">
        <f>IFERROR('Data Sheet'!J93,0)</f>
        <v>28.73</v>
      </c>
      <c r="I41" s="25">
        <f>IFERROR('Data Sheet'!K93,0)</f>
        <v>28.77</v>
      </c>
      <c r="J41" s="25">
        <f>IFERROR('Data Sheet'!K93,0)</f>
        <v>28.77</v>
      </c>
    </row>
    <row r="42" spans="2:10" x14ac:dyDescent="0.3">
      <c r="C42" s="23"/>
      <c r="D42" s="23"/>
      <c r="E42" s="23"/>
      <c r="F42" s="23"/>
      <c r="G42" s="23"/>
      <c r="H42" s="23"/>
      <c r="I42" s="23"/>
      <c r="J42" s="20"/>
    </row>
    <row r="43" spans="2:10" x14ac:dyDescent="0.3">
      <c r="B43" t="s">
        <v>44</v>
      </c>
      <c r="C43" s="37">
        <f t="shared" ref="C43:J43" si="70">IFERROR(C38/C41,0)</f>
        <v>1.9797057331303767</v>
      </c>
      <c r="D43" s="37">
        <f t="shared" si="70"/>
        <v>2.4444444444444446</v>
      </c>
      <c r="E43" s="37">
        <f t="shared" si="70"/>
        <v>4.0416032470827012</v>
      </c>
      <c r="F43" s="37">
        <f t="shared" si="70"/>
        <v>25.381532217148649</v>
      </c>
      <c r="G43" s="37">
        <f t="shared" si="70"/>
        <v>64.656519533231872</v>
      </c>
      <c r="H43" s="37">
        <f t="shared" si="70"/>
        <v>67.112077967281536</v>
      </c>
      <c r="I43" s="37">
        <f t="shared" si="70"/>
        <v>135.00695168578383</v>
      </c>
      <c r="J43" s="37">
        <f t="shared" si="70"/>
        <v>155.0396246089677</v>
      </c>
    </row>
    <row r="44" spans="2:10" x14ac:dyDescent="0.3">
      <c r="B44" s="22" t="s">
        <v>96</v>
      </c>
      <c r="C44" s="22">
        <f>IFERROR(C43/#REF!-1,0)</f>
        <v>0</v>
      </c>
      <c r="D44" s="22">
        <f t="shared" ref="D44:J44" si="71">IFERROR(D43/C43-1,0)</f>
        <v>0.23475140953358142</v>
      </c>
      <c r="E44" s="22">
        <f t="shared" si="71"/>
        <v>0.65338314653383223</v>
      </c>
      <c r="F44" s="22">
        <f t="shared" si="71"/>
        <v>5.2800652774290686</v>
      </c>
      <c r="G44" s="22">
        <f t="shared" si="71"/>
        <v>1.5473844124172955</v>
      </c>
      <c r="H44" s="22">
        <f t="shared" si="71"/>
        <v>3.7978512480671967E-2</v>
      </c>
      <c r="I44" s="22">
        <f t="shared" si="71"/>
        <v>1.0116640070599869</v>
      </c>
      <c r="J44" s="22">
        <f t="shared" si="71"/>
        <v>0.14838252899604787</v>
      </c>
    </row>
    <row r="45" spans="2:10" x14ac:dyDescent="0.3">
      <c r="J45" s="20"/>
    </row>
    <row r="46" spans="2:10" x14ac:dyDescent="0.3">
      <c r="B46" t="s">
        <v>95</v>
      </c>
      <c r="C46" s="25">
        <f>-IFERROR('Data Sheet'!E31/C41,0)</f>
        <v>0</v>
      </c>
      <c r="D46" s="25">
        <f>-IFERROR('Data Sheet'!F31/D41,0)</f>
        <v>0</v>
      </c>
      <c r="E46" s="25">
        <f>-IFERROR('Data Sheet'!G31/E41,0)</f>
        <v>0</v>
      </c>
      <c r="F46" s="25">
        <f>-IFERROR('Data Sheet'!H31/F41,0)</f>
        <v>0</v>
      </c>
      <c r="G46" s="25">
        <f>-IFERROR('Data Sheet'!I31/G41,0)</f>
        <v>0</v>
      </c>
      <c r="H46" s="25">
        <f>-IFERROR('Data Sheet'!J31/H41,0)</f>
        <v>0</v>
      </c>
      <c r="I46" s="25">
        <f>-IFERROR('Data Sheet'!K31/I41,0)</f>
        <v>-1.99965241571081</v>
      </c>
      <c r="J46" s="25">
        <f>-IFERROR('Data Sheet'!L31/J41,0)</f>
        <v>0</v>
      </c>
    </row>
    <row r="47" spans="2:10" x14ac:dyDescent="0.3">
      <c r="B47" s="22" t="s">
        <v>97</v>
      </c>
      <c r="C47" s="22">
        <f t="shared" ref="C47:J47" si="72">IFERROR(C46/C43,0)</f>
        <v>0</v>
      </c>
      <c r="D47" s="22">
        <f t="shared" si="72"/>
        <v>0</v>
      </c>
      <c r="E47" s="22">
        <f t="shared" si="72"/>
        <v>0</v>
      </c>
      <c r="F47" s="22">
        <f>IFERROR(F46/F43,0)</f>
        <v>0</v>
      </c>
      <c r="G47" s="22">
        <f t="shared" si="72"/>
        <v>0</v>
      </c>
      <c r="H47" s="22">
        <f t="shared" si="72"/>
        <v>0</v>
      </c>
      <c r="I47" s="22">
        <f t="shared" si="72"/>
        <v>-1.4811477414620957E-2</v>
      </c>
      <c r="J47" s="22">
        <f t="shared" si="72"/>
        <v>0</v>
      </c>
    </row>
    <row r="49" spans="1:10" x14ac:dyDescent="0.3">
      <c r="B49" t="s">
        <v>98</v>
      </c>
      <c r="C49" s="38">
        <f t="shared" ref="C49:J49" si="73">IFERROR(IF(C43&gt;C46,1-C47,0),0)</f>
        <v>1</v>
      </c>
      <c r="D49" s="38">
        <f t="shared" si="73"/>
        <v>1</v>
      </c>
      <c r="E49" s="38">
        <f t="shared" si="73"/>
        <v>1</v>
      </c>
      <c r="F49" s="38">
        <f t="shared" si="73"/>
        <v>1</v>
      </c>
      <c r="G49" s="38">
        <f t="shared" si="73"/>
        <v>1</v>
      </c>
      <c r="H49" s="38">
        <f t="shared" si="73"/>
        <v>1</v>
      </c>
      <c r="I49" s="38">
        <f t="shared" si="73"/>
        <v>1.0148114774146209</v>
      </c>
      <c r="J49" s="38">
        <f t="shared" si="73"/>
        <v>1</v>
      </c>
    </row>
    <row r="51" spans="1:10" x14ac:dyDescent="0.3">
      <c r="A51" t="s">
        <v>78</v>
      </c>
      <c r="B51" s="24" t="s">
        <v>99</v>
      </c>
      <c r="C51" s="24"/>
      <c r="D51" s="24"/>
      <c r="E51" s="24"/>
      <c r="F51" s="24"/>
      <c r="G51" s="24"/>
      <c r="H51" s="24"/>
      <c r="I51" s="24"/>
      <c r="J51" s="24"/>
    </row>
    <row r="53" spans="1:10" x14ac:dyDescent="0.3">
      <c r="B53" t="s">
        <v>24</v>
      </c>
      <c r="C53" s="25">
        <f>IFERROR('Data Sheet'!E57,0)</f>
        <v>197.14</v>
      </c>
      <c r="D53" s="25">
        <f>IFERROR('Data Sheet'!F57,0)</f>
        <v>197.14</v>
      </c>
      <c r="E53" s="25">
        <f>IFERROR('Data Sheet'!G57,0)</f>
        <v>197.14</v>
      </c>
      <c r="F53" s="25">
        <f>IFERROR('Data Sheet'!H57,0)</f>
        <v>243.37</v>
      </c>
      <c r="G53" s="25">
        <f>IFERROR('Data Sheet'!I57,0)</f>
        <v>262.95999999999998</v>
      </c>
      <c r="H53" s="25">
        <f>IFERROR('Data Sheet'!J57,0)</f>
        <v>287.27999999999997</v>
      </c>
      <c r="I53" s="25">
        <f>IFERROR('Data Sheet'!K57,0)</f>
        <v>287.64999999999998</v>
      </c>
    </row>
    <row r="54" spans="1:10" x14ac:dyDescent="0.3">
      <c r="B54" t="s">
        <v>25</v>
      </c>
      <c r="C54" s="25">
        <f>IFERROR('Data Sheet'!E58,0)</f>
        <v>100.88</v>
      </c>
      <c r="D54" s="25">
        <f>IFERROR('Data Sheet'!F58,0)</f>
        <v>147.85</v>
      </c>
      <c r="E54" s="25">
        <f>IFERROR('Data Sheet'!G58,0)</f>
        <v>230.51</v>
      </c>
      <c r="F54" s="25">
        <f>IFERROR('Data Sheet'!H58,0)</f>
        <v>1595.04</v>
      </c>
      <c r="G54" s="25">
        <f>IFERROR('Data Sheet'!I58,0)</f>
        <v>3824.85</v>
      </c>
      <c r="H54" s="25">
        <f>IFERROR('Data Sheet'!J58,0)</f>
        <v>9191.92</v>
      </c>
      <c r="I54" s="25">
        <f>IFERROR('Data Sheet'!K58,0)</f>
        <v>14149.69</v>
      </c>
    </row>
    <row r="55" spans="1:10" x14ac:dyDescent="0.3">
      <c r="B55" t="s">
        <v>56</v>
      </c>
      <c r="C55" s="25">
        <f>IFERROR('Data Sheet'!E59,0)</f>
        <v>157.07</v>
      </c>
      <c r="D55" s="25">
        <f>IFERROR('Data Sheet'!F59,0)</f>
        <v>339.9</v>
      </c>
      <c r="E55" s="25">
        <f>IFERROR('Data Sheet'!G59,0)</f>
        <v>363.41</v>
      </c>
      <c r="F55" s="25">
        <f>IFERROR('Data Sheet'!H59,0)</f>
        <v>320.27</v>
      </c>
      <c r="G55" s="25">
        <f>IFERROR('Data Sheet'!I59,0)</f>
        <v>553.39</v>
      </c>
      <c r="H55" s="25">
        <f>IFERROR('Data Sheet'!J59,0)</f>
        <v>1198.99</v>
      </c>
      <c r="I55" s="25">
        <f>IFERROR('Data Sheet'!K59,0)</f>
        <v>3212.62</v>
      </c>
    </row>
    <row r="56" spans="1:10" x14ac:dyDescent="0.3">
      <c r="B56" t="s">
        <v>57</v>
      </c>
      <c r="C56" s="25">
        <f>IFERROR('Data Sheet'!E60,0)</f>
        <v>483.18</v>
      </c>
      <c r="D56" s="25">
        <f>IFERROR('Data Sheet'!F60,0)</f>
        <v>595.64</v>
      </c>
      <c r="E56" s="25">
        <f>IFERROR('Data Sheet'!G60,0)</f>
        <v>1362.49</v>
      </c>
      <c r="F56" s="25">
        <f>IFERROR('Data Sheet'!H60,0)</f>
        <v>5246.97</v>
      </c>
      <c r="G56" s="25">
        <f>IFERROR('Data Sheet'!I60,0)</f>
        <v>6635.44</v>
      </c>
      <c r="H56" s="25">
        <f>IFERROR('Data Sheet'!J60,0)</f>
        <v>9027.85</v>
      </c>
      <c r="I56" s="25">
        <f>IFERROR('Data Sheet'!K60,0)</f>
        <v>12465.41</v>
      </c>
    </row>
    <row r="57" spans="1:10" x14ac:dyDescent="0.3">
      <c r="B57" s="32" t="s">
        <v>100</v>
      </c>
      <c r="C57" s="33">
        <f>IFERROR('Data Sheet'!E61,0)</f>
        <v>938.27</v>
      </c>
      <c r="D57" s="33">
        <f>IFERROR('Data Sheet'!F61,0)</f>
        <v>1280.53</v>
      </c>
      <c r="E57" s="33">
        <f>IFERROR('Data Sheet'!G61,0)</f>
        <v>2153.5500000000002</v>
      </c>
      <c r="F57" s="33">
        <f>IFERROR('Data Sheet'!H61,0)</f>
        <v>7405.65</v>
      </c>
      <c r="G57" s="33">
        <f>IFERROR('Data Sheet'!I61,0)</f>
        <v>11276.64</v>
      </c>
      <c r="H57" s="33">
        <f>IFERROR('Data Sheet'!J61,0)</f>
        <v>19706.04</v>
      </c>
      <c r="I57" s="33">
        <f>IFERROR('Data Sheet'!K61,0)</f>
        <v>30115.37</v>
      </c>
    </row>
    <row r="59" spans="1:10" x14ac:dyDescent="0.3">
      <c r="B59" t="s">
        <v>101</v>
      </c>
      <c r="C59" s="25">
        <f>IFERROR('Data Sheet'!E62,0)</f>
        <v>151.75</v>
      </c>
      <c r="D59" s="25">
        <f>IFERROR('Data Sheet'!F62,0)</f>
        <v>284.70999999999998</v>
      </c>
      <c r="E59" s="25">
        <f>IFERROR('Data Sheet'!G62,0)</f>
        <v>624.62</v>
      </c>
      <c r="F59" s="25">
        <f>IFERROR('Data Sheet'!H62,0)</f>
        <v>1105.27</v>
      </c>
      <c r="G59" s="25">
        <f>IFERROR('Data Sheet'!I62,0)</f>
        <v>1449.85</v>
      </c>
      <c r="H59" s="25">
        <f>IFERROR('Data Sheet'!J62,0)</f>
        <v>4050.95</v>
      </c>
      <c r="I59" s="25">
        <f>IFERROR('Data Sheet'!K62,0)</f>
        <v>7328.57</v>
      </c>
    </row>
    <row r="60" spans="1:10" x14ac:dyDescent="0.3">
      <c r="B60" t="s">
        <v>28</v>
      </c>
      <c r="C60" s="25">
        <f>IFERROR('Data Sheet'!E63,0)</f>
        <v>40.22</v>
      </c>
      <c r="D60" s="25">
        <f>IFERROR('Data Sheet'!F63,0)</f>
        <v>2.84</v>
      </c>
      <c r="E60" s="25">
        <f>IFERROR('Data Sheet'!G63,0)</f>
        <v>123.76</v>
      </c>
      <c r="F60" s="25">
        <f>IFERROR('Data Sheet'!H63,0)</f>
        <v>537.19000000000005</v>
      </c>
      <c r="G60" s="25">
        <f>IFERROR('Data Sheet'!I63,0)</f>
        <v>1341.44</v>
      </c>
      <c r="H60" s="25">
        <f>IFERROR('Data Sheet'!J63,0)</f>
        <v>1884.14</v>
      </c>
      <c r="I60" s="25">
        <f>IFERROR('Data Sheet'!K63,0)</f>
        <v>3476.15</v>
      </c>
    </row>
    <row r="61" spans="1:10" x14ac:dyDescent="0.3">
      <c r="B61" t="s">
        <v>29</v>
      </c>
      <c r="C61" s="25">
        <f>IFERROR('Data Sheet'!E64,0)</f>
        <v>85.46</v>
      </c>
      <c r="D61" s="25">
        <f>IFERROR('Data Sheet'!F64,0)</f>
        <v>115.44</v>
      </c>
      <c r="E61" s="25">
        <f>IFERROR('Data Sheet'!G64,0)</f>
        <v>143.16</v>
      </c>
      <c r="F61" s="25">
        <f>IFERROR('Data Sheet'!H64,0)</f>
        <v>31.06</v>
      </c>
      <c r="G61" s="25">
        <f>IFERROR('Data Sheet'!I64,0)</f>
        <v>71.150000000000006</v>
      </c>
      <c r="H61" s="25">
        <f>IFERROR('Data Sheet'!J64,0)</f>
        <v>64.680000000000007</v>
      </c>
      <c r="I61" s="25">
        <f>IFERROR('Data Sheet'!K64,0)</f>
        <v>952.84</v>
      </c>
    </row>
    <row r="62" spans="1:10" x14ac:dyDescent="0.3">
      <c r="B62" t="s">
        <v>58</v>
      </c>
      <c r="C62" s="25">
        <f>IFERROR('Data Sheet'!E65-SUM('Data Sheet'!E67:E69),0)</f>
        <v>198.79000000000002</v>
      </c>
      <c r="D62" s="25">
        <f>IFERROR('Data Sheet'!F65-SUM('Data Sheet'!F67:F69),0)</f>
        <v>282.56999999999994</v>
      </c>
      <c r="E62" s="25">
        <f>IFERROR('Data Sheet'!G65-SUM('Data Sheet'!G67:G69),0)</f>
        <v>264.95000000000005</v>
      </c>
      <c r="F62" s="25">
        <f>IFERROR('Data Sheet'!H65-SUM('Data Sheet'!H67:H69),0)</f>
        <v>974.23000000000047</v>
      </c>
      <c r="G62" s="25">
        <f>IFERROR('Data Sheet'!I65-SUM('Data Sheet'!I67:I69),0)</f>
        <v>1078.1100000000006</v>
      </c>
      <c r="H62" s="25">
        <f>IFERROR('Data Sheet'!J65-SUM('Data Sheet'!J67:J69),0)</f>
        <v>2081.5699999999997</v>
      </c>
      <c r="I62" s="25">
        <f>IFERROR('Data Sheet'!K65-SUM('Data Sheet'!K67:K69),0)</f>
        <v>3281.4799999999996</v>
      </c>
    </row>
    <row r="63" spans="1:10" x14ac:dyDescent="0.3">
      <c r="B63" s="32" t="s">
        <v>103</v>
      </c>
      <c r="C63" s="33">
        <f t="shared" ref="C63:I63" si="74">SUM(C59:C62)</f>
        <v>476.22</v>
      </c>
      <c r="D63" s="33">
        <f t="shared" si="74"/>
        <v>685.56</v>
      </c>
      <c r="E63" s="33">
        <f t="shared" si="74"/>
        <v>1156.49</v>
      </c>
      <c r="F63" s="33">
        <f t="shared" si="74"/>
        <v>2647.7500000000005</v>
      </c>
      <c r="G63" s="33">
        <f t="shared" si="74"/>
        <v>3940.5500000000006</v>
      </c>
      <c r="H63" s="33">
        <f t="shared" si="74"/>
        <v>8081.34</v>
      </c>
      <c r="I63" s="33">
        <f t="shared" si="74"/>
        <v>15039.039999999999</v>
      </c>
    </row>
    <row r="65" spans="1:10" x14ac:dyDescent="0.3">
      <c r="B65" t="s">
        <v>63</v>
      </c>
      <c r="C65" s="25">
        <f>IFERROR('Data Sheet'!E67,0)</f>
        <v>140.24</v>
      </c>
      <c r="D65" s="25">
        <f>IFERROR('Data Sheet'!F67,0)</f>
        <v>116.72</v>
      </c>
      <c r="E65" s="25">
        <f>IFERROR('Data Sheet'!G67,0)</f>
        <v>92.52</v>
      </c>
      <c r="F65" s="25">
        <f>IFERROR('Data Sheet'!H67,0)</f>
        <v>312.61</v>
      </c>
      <c r="G65" s="25">
        <f>IFERROR('Data Sheet'!I67,0)</f>
        <v>971.39</v>
      </c>
      <c r="H65" s="25">
        <f>IFERROR('Data Sheet'!J67,0)</f>
        <v>1184.77</v>
      </c>
      <c r="I65" s="25">
        <f>IFERROR('Data Sheet'!K67,0)</f>
        <v>2492.3200000000002</v>
      </c>
    </row>
    <row r="66" spans="1:10" x14ac:dyDescent="0.3">
      <c r="B66" t="s">
        <v>43</v>
      </c>
      <c r="C66" s="25">
        <f>IFERROR('Data Sheet'!E68,0)</f>
        <v>243.11</v>
      </c>
      <c r="D66" s="25">
        <f>IFERROR('Data Sheet'!F68,0)</f>
        <v>368</v>
      </c>
      <c r="E66" s="25">
        <f>IFERROR('Data Sheet'!G68,0)</f>
        <v>538.16999999999996</v>
      </c>
      <c r="F66" s="25">
        <f>IFERROR('Data Sheet'!H68,0)</f>
        <v>2708.87</v>
      </c>
      <c r="G66" s="25">
        <f>IFERROR('Data Sheet'!I68,0)</f>
        <v>2585.5300000000002</v>
      </c>
      <c r="H66" s="25">
        <f>IFERROR('Data Sheet'!J68,0)</f>
        <v>2692.11</v>
      </c>
      <c r="I66" s="25">
        <f>IFERROR('Data Sheet'!K68,0)</f>
        <v>5855.64</v>
      </c>
    </row>
    <row r="67" spans="1:10" x14ac:dyDescent="0.3">
      <c r="B67" t="s">
        <v>72</v>
      </c>
      <c r="C67" s="25">
        <f>IFERROR('Data Sheet'!E69,0)</f>
        <v>78.7</v>
      </c>
      <c r="D67" s="25">
        <f>IFERROR('Data Sheet'!F69,0)</f>
        <v>110.25</v>
      </c>
      <c r="E67" s="25">
        <f>IFERROR('Data Sheet'!G69,0)</f>
        <v>366.37</v>
      </c>
      <c r="F67" s="25">
        <f>IFERROR('Data Sheet'!H69,0)</f>
        <v>1736.42</v>
      </c>
      <c r="G67" s="25">
        <f>IFERROR('Data Sheet'!I69,0)</f>
        <v>3779.17</v>
      </c>
      <c r="H67" s="25">
        <f>IFERROR('Data Sheet'!J69,0)</f>
        <v>7747.82</v>
      </c>
      <c r="I67" s="25">
        <f>IFERROR('Data Sheet'!K69,0)</f>
        <v>6728.37</v>
      </c>
    </row>
    <row r="68" spans="1:10" x14ac:dyDescent="0.3">
      <c r="B68" t="s">
        <v>104</v>
      </c>
      <c r="C68" s="27">
        <f t="shared" ref="C68:I68" si="75">IFERROR(SUM(C65:C67),0)</f>
        <v>462.05</v>
      </c>
      <c r="D68" s="27">
        <f t="shared" si="75"/>
        <v>594.97</v>
      </c>
      <c r="E68" s="27">
        <f t="shared" si="75"/>
        <v>997.06</v>
      </c>
      <c r="F68" s="27">
        <f t="shared" si="75"/>
        <v>4757.8999999999996</v>
      </c>
      <c r="G68" s="27">
        <f t="shared" si="75"/>
        <v>7336.09</v>
      </c>
      <c r="H68" s="27">
        <f t="shared" si="75"/>
        <v>11624.7</v>
      </c>
      <c r="I68" s="27">
        <f t="shared" si="75"/>
        <v>15076.330000000002</v>
      </c>
    </row>
    <row r="69" spans="1:10" x14ac:dyDescent="0.3">
      <c r="C69" s="25"/>
      <c r="D69" s="25"/>
      <c r="E69" s="25"/>
      <c r="F69" s="25"/>
      <c r="G69" s="25"/>
      <c r="H69" s="25"/>
      <c r="I69" s="25"/>
    </row>
    <row r="70" spans="1:10" x14ac:dyDescent="0.3">
      <c r="B70" s="32" t="s">
        <v>102</v>
      </c>
      <c r="C70" s="33">
        <f t="shared" ref="C70:I70" si="76">IFERROR(C68+C63,0)</f>
        <v>938.27</v>
      </c>
      <c r="D70" s="33">
        <f t="shared" si="76"/>
        <v>1280.53</v>
      </c>
      <c r="E70" s="33">
        <f t="shared" si="76"/>
        <v>2153.5500000000002</v>
      </c>
      <c r="F70" s="33">
        <f t="shared" si="76"/>
        <v>7405.65</v>
      </c>
      <c r="G70" s="33">
        <f t="shared" si="76"/>
        <v>11276.640000000001</v>
      </c>
      <c r="H70" s="33">
        <f t="shared" si="76"/>
        <v>19706.04</v>
      </c>
      <c r="I70" s="33">
        <f t="shared" si="76"/>
        <v>30115.370000000003</v>
      </c>
    </row>
    <row r="72" spans="1:10" x14ac:dyDescent="0.3">
      <c r="B72" t="s">
        <v>105</v>
      </c>
      <c r="C72" t="b">
        <f t="shared" ref="C72:I72" si="77">C70=C57</f>
        <v>1</v>
      </c>
      <c r="D72" t="b">
        <f t="shared" si="77"/>
        <v>1</v>
      </c>
      <c r="E72" t="b">
        <f t="shared" si="77"/>
        <v>1</v>
      </c>
      <c r="F72" t="b">
        <f t="shared" si="77"/>
        <v>1</v>
      </c>
      <c r="G72" t="b">
        <f t="shared" si="77"/>
        <v>1</v>
      </c>
      <c r="H72" t="b">
        <f t="shared" si="77"/>
        <v>1</v>
      </c>
      <c r="I72" t="b">
        <f t="shared" si="77"/>
        <v>1</v>
      </c>
    </row>
    <row r="74" spans="1:10" x14ac:dyDescent="0.3">
      <c r="A74" s="31" t="s">
        <v>78</v>
      </c>
      <c r="B74" s="24" t="s">
        <v>131</v>
      </c>
      <c r="C74" s="24"/>
      <c r="D74" s="24"/>
      <c r="E74" s="24"/>
      <c r="F74" s="24"/>
      <c r="G74" s="24"/>
      <c r="H74" s="24"/>
      <c r="I74" s="24"/>
      <c r="J74" s="24"/>
    </row>
    <row r="75" spans="1:10" x14ac:dyDescent="0.3">
      <c r="B75" s="2" t="s">
        <v>133</v>
      </c>
    </row>
    <row r="76" spans="1:10" x14ac:dyDescent="0.3">
      <c r="B76" t="s">
        <v>106</v>
      </c>
      <c r="C76" s="25">
        <f>IFERROR('CashFlow Data'!C4,0)</f>
        <v>118</v>
      </c>
      <c r="D76" s="25">
        <f>IFERROR('CashFlow Data'!D4,0)</f>
        <v>107</v>
      </c>
      <c r="E76" s="25">
        <f>IFERROR('CashFlow Data'!E4,0)</f>
        <v>191</v>
      </c>
      <c r="F76" s="25">
        <f>IFERROR('CashFlow Data'!F4,0)</f>
        <v>941</v>
      </c>
      <c r="G76" s="25">
        <f>IFERROR('CashFlow Data'!G4,0)</f>
        <v>2049</v>
      </c>
      <c r="H76" s="25">
        <f>IFERROR('CashFlow Data'!H4,0)</f>
        <v>2744</v>
      </c>
      <c r="I76" s="25">
        <f>IFERROR('CashFlow Data'!I4,0)</f>
        <v>5916</v>
      </c>
    </row>
    <row r="77" spans="1:10" x14ac:dyDescent="0.3">
      <c r="B77" t="s">
        <v>63</v>
      </c>
      <c r="C77" s="25">
        <f>IFERROR('CashFlow Data'!C5,0)</f>
        <v>86</v>
      </c>
      <c r="D77" s="25">
        <f>IFERROR('CashFlow Data'!D5,0)</f>
        <v>22</v>
      </c>
      <c r="E77" s="25">
        <f>IFERROR('CashFlow Data'!E5,0)</f>
        <v>21</v>
      </c>
      <c r="F77" s="25">
        <f>IFERROR('CashFlow Data'!F5,0)</f>
        <v>-215</v>
      </c>
      <c r="G77" s="25">
        <f>IFERROR('CashFlow Data'!G5,0)</f>
        <v>-670</v>
      </c>
      <c r="H77" s="25">
        <f>IFERROR('CashFlow Data'!H5,0)</f>
        <v>-223</v>
      </c>
      <c r="I77" s="25">
        <f>IFERROR('CashFlow Data'!I5,0)</f>
        <v>-1425</v>
      </c>
    </row>
    <row r="78" spans="1:10" x14ac:dyDescent="0.3">
      <c r="B78" t="s">
        <v>43</v>
      </c>
      <c r="C78" s="25">
        <f>IFERROR('CashFlow Data'!C6,0)</f>
        <v>-143</v>
      </c>
      <c r="D78" s="25">
        <f>IFERROR('CashFlow Data'!D6,0)</f>
        <v>-99</v>
      </c>
      <c r="E78" s="25">
        <f>IFERROR('CashFlow Data'!E6,0)</f>
        <v>-170</v>
      </c>
      <c r="F78" s="25">
        <f>IFERROR('CashFlow Data'!F6,0)</f>
        <v>-2171</v>
      </c>
      <c r="G78" s="25">
        <f>IFERROR('CashFlow Data'!G6,0)</f>
        <v>123</v>
      </c>
      <c r="H78" s="25">
        <f>IFERROR('CashFlow Data'!H6,0)</f>
        <v>-107</v>
      </c>
      <c r="I78" s="25">
        <f>IFERROR('CashFlow Data'!I6,0)</f>
        <v>-3164</v>
      </c>
    </row>
    <row r="79" spans="1:10" x14ac:dyDescent="0.3">
      <c r="B79" t="s">
        <v>107</v>
      </c>
      <c r="C79" s="25">
        <f>IFERROR('CashFlow Data'!C7,0)</f>
        <v>-12</v>
      </c>
      <c r="D79" s="25">
        <f>IFERROR('CashFlow Data'!D7,0)</f>
        <v>78</v>
      </c>
      <c r="E79" s="25">
        <f>IFERROR('CashFlow Data'!E7,0)</f>
        <v>178</v>
      </c>
      <c r="F79" s="25">
        <f>IFERROR('CashFlow Data'!F7,0)</f>
        <v>1073</v>
      </c>
      <c r="G79" s="25">
        <f>IFERROR('CashFlow Data'!G7,0)</f>
        <v>-6</v>
      </c>
      <c r="H79" s="25">
        <f>IFERROR('CashFlow Data'!H7,0)</f>
        <v>557</v>
      </c>
      <c r="I79" s="25">
        <f>IFERROR('CashFlow Data'!I7,0)</f>
        <v>1014</v>
      </c>
    </row>
    <row r="80" spans="1:10" x14ac:dyDescent="0.3">
      <c r="B80" t="s">
        <v>204</v>
      </c>
      <c r="C80" s="25">
        <f>IFERROR('CashFlow Data'!C8,0)</f>
        <v>0</v>
      </c>
      <c r="D80" s="25">
        <f>IFERROR('CashFlow Data'!D8,0)</f>
        <v>-3</v>
      </c>
      <c r="E80" s="25">
        <f>IFERROR('CashFlow Data'!E8,0)</f>
        <v>0</v>
      </c>
      <c r="F80" s="25">
        <f>IFERROR('CashFlow Data'!F8,0)</f>
        <v>0</v>
      </c>
      <c r="G80" s="25">
        <f>IFERROR('CashFlow Data'!G8,0)</f>
        <v>0</v>
      </c>
      <c r="H80" s="25">
        <f>IFERROR('CashFlow Data'!H8,0)</f>
        <v>0</v>
      </c>
      <c r="I80" s="25">
        <f>IFERROR('CashFlow Data'!I8,0)</f>
        <v>-41</v>
      </c>
    </row>
    <row r="81" spans="2:9" x14ac:dyDescent="0.3">
      <c r="B81" t="s">
        <v>108</v>
      </c>
      <c r="C81" s="25">
        <f>IFERROR('CashFlow Data'!C9,0)</f>
        <v>46</v>
      </c>
      <c r="D81" s="25">
        <f>IFERROR('CashFlow Data'!D9,0)</f>
        <v>-17</v>
      </c>
      <c r="E81" s="25">
        <f>IFERROR('CashFlow Data'!E9,0)</f>
        <v>504</v>
      </c>
      <c r="F81" s="25">
        <f>IFERROR('CashFlow Data'!F9,0)</f>
        <v>2032</v>
      </c>
      <c r="G81" s="25">
        <f>IFERROR('CashFlow Data'!G9,0)</f>
        <v>1144</v>
      </c>
      <c r="H81" s="25">
        <f>IFERROR('CashFlow Data'!H9,0)</f>
        <v>930</v>
      </c>
      <c r="I81" s="25">
        <f>IFERROR('CashFlow Data'!I9,0)</f>
        <v>476</v>
      </c>
    </row>
    <row r="82" spans="2:9" x14ac:dyDescent="0.3">
      <c r="B82" t="s">
        <v>109</v>
      </c>
      <c r="C82" s="25">
        <f>IFERROR('CashFlow Data'!C10,0)</f>
        <v>-23</v>
      </c>
      <c r="D82" s="25">
        <f>IFERROR('CashFlow Data'!D10,0)</f>
        <v>-18</v>
      </c>
      <c r="E82" s="25">
        <f>IFERROR('CashFlow Data'!E10,0)</f>
        <v>533</v>
      </c>
      <c r="F82" s="25">
        <f>IFERROR('CashFlow Data'!F10,0)</f>
        <v>720</v>
      </c>
      <c r="G82" s="25">
        <f>IFERROR('CashFlow Data'!G10,0)</f>
        <v>592</v>
      </c>
      <c r="H82" s="25">
        <f>IFERROR('CashFlow Data'!H10,0)</f>
        <v>1157</v>
      </c>
      <c r="I82" s="25">
        <f>IFERROR('CashFlow Data'!I10,0)</f>
        <v>-3140</v>
      </c>
    </row>
    <row r="83" spans="2:9" x14ac:dyDescent="0.3">
      <c r="B83" t="s">
        <v>110</v>
      </c>
      <c r="C83" s="25">
        <f>IFERROR('CashFlow Data'!C11,0)</f>
        <v>-11</v>
      </c>
      <c r="D83" s="25">
        <f>IFERROR('CashFlow Data'!D11,0)</f>
        <v>-22</v>
      </c>
      <c r="E83" s="25">
        <f>IFERROR('CashFlow Data'!E11,0)</f>
        <v>-26</v>
      </c>
      <c r="F83" s="25">
        <f>IFERROR('CashFlow Data'!F11,0)</f>
        <v>-100</v>
      </c>
      <c r="G83" s="25">
        <f>IFERROR('CashFlow Data'!G11,0)</f>
        <v>-335</v>
      </c>
      <c r="H83" s="25">
        <f>IFERROR('CashFlow Data'!H11,0)</f>
        <v>-743</v>
      </c>
      <c r="I83" s="25">
        <f>IFERROR('CashFlow Data'!I11,0)</f>
        <v>-1149</v>
      </c>
    </row>
    <row r="84" spans="2:9" x14ac:dyDescent="0.3">
      <c r="B84" s="2" t="s">
        <v>132</v>
      </c>
      <c r="C84" s="27">
        <f t="shared" ref="C84:I84" si="78">SUM(C76:C83)</f>
        <v>61</v>
      </c>
      <c r="D84" s="27">
        <f t="shared" si="78"/>
        <v>48</v>
      </c>
      <c r="E84" s="27">
        <f t="shared" si="78"/>
        <v>1231</v>
      </c>
      <c r="F84" s="27">
        <f t="shared" si="78"/>
        <v>2280</v>
      </c>
      <c r="G84" s="27">
        <f t="shared" si="78"/>
        <v>2897</v>
      </c>
      <c r="H84" s="27">
        <f t="shared" si="78"/>
        <v>4315</v>
      </c>
      <c r="I84" s="27">
        <f t="shared" si="78"/>
        <v>-1513</v>
      </c>
    </row>
    <row r="86" spans="2:9" x14ac:dyDescent="0.3">
      <c r="B86" s="2" t="s">
        <v>134</v>
      </c>
    </row>
    <row r="87" spans="2:9" x14ac:dyDescent="0.3">
      <c r="B87" t="s">
        <v>111</v>
      </c>
      <c r="C87" s="25">
        <f>IFERROR('CashFlow Data'!C13,0)</f>
        <v>-16</v>
      </c>
      <c r="D87" s="25">
        <f>IFERROR('CashFlow Data'!D13,0)</f>
        <v>-70</v>
      </c>
      <c r="E87" s="25">
        <f>IFERROR('CashFlow Data'!E13,0)</f>
        <v>-496</v>
      </c>
      <c r="F87" s="25">
        <f>IFERROR('CashFlow Data'!F13,0)</f>
        <v>-865</v>
      </c>
      <c r="G87" s="25">
        <f>IFERROR('CashFlow Data'!G13,0)</f>
        <v>-1342</v>
      </c>
      <c r="H87" s="25">
        <f>IFERROR('CashFlow Data'!H13,0)</f>
        <v>-3274</v>
      </c>
      <c r="I87" s="25">
        <f>IFERROR('CashFlow Data'!I13,0)</f>
        <v>-4882</v>
      </c>
    </row>
    <row r="88" spans="2:9" x14ac:dyDescent="0.3">
      <c r="B88" t="s">
        <v>112</v>
      </c>
      <c r="C88" s="25">
        <f>IFERROR('CashFlow Data'!C14,0)</f>
        <v>0</v>
      </c>
      <c r="D88" s="25">
        <f>IFERROR('CashFlow Data'!D14,0)</f>
        <v>0</v>
      </c>
      <c r="E88" s="25">
        <f>IFERROR('CashFlow Data'!E14,0)</f>
        <v>1</v>
      </c>
      <c r="F88" s="25">
        <f>IFERROR('CashFlow Data'!F14,0)</f>
        <v>4</v>
      </c>
      <c r="G88" s="25">
        <f>IFERROR('CashFlow Data'!G14,0)</f>
        <v>5</v>
      </c>
      <c r="H88" s="25">
        <f>IFERROR('CashFlow Data'!H14,0)</f>
        <v>1</v>
      </c>
      <c r="I88" s="25">
        <f>IFERROR('CashFlow Data'!I14,0)</f>
        <v>46</v>
      </c>
    </row>
    <row r="89" spans="2:9" x14ac:dyDescent="0.3">
      <c r="B89" t="s">
        <v>205</v>
      </c>
      <c r="C89" s="25">
        <f>IFERROR('CashFlow Data'!C15,0)</f>
        <v>-35</v>
      </c>
      <c r="D89" s="25">
        <f>IFERROR('CashFlow Data'!D15,0)</f>
        <v>-33</v>
      </c>
      <c r="E89" s="25">
        <f>IFERROR('CashFlow Data'!E15,0)</f>
        <v>0</v>
      </c>
      <c r="F89" s="25">
        <f>IFERROR('CashFlow Data'!F15,0)</f>
        <v>0</v>
      </c>
      <c r="G89" s="25">
        <f>IFERROR('CashFlow Data'!G15,0)</f>
        <v>0</v>
      </c>
      <c r="H89" s="25">
        <f>IFERROR('CashFlow Data'!H15,0)</f>
        <v>0</v>
      </c>
      <c r="I89" s="25">
        <f>IFERROR('CashFlow Data'!I15,0)</f>
        <v>0</v>
      </c>
    </row>
    <row r="90" spans="2:9" x14ac:dyDescent="0.3">
      <c r="B90" t="s">
        <v>113</v>
      </c>
      <c r="C90" s="25">
        <f>IFERROR('CashFlow Data'!C16,0)</f>
        <v>0</v>
      </c>
      <c r="D90" s="25">
        <f>IFERROR('CashFlow Data'!D16,0)</f>
        <v>-50</v>
      </c>
      <c r="E90" s="25">
        <f>IFERROR('CashFlow Data'!E16,0)</f>
        <v>-161</v>
      </c>
      <c r="F90" s="25">
        <f>IFERROR('CashFlow Data'!F16,0)</f>
        <v>0</v>
      </c>
      <c r="G90" s="25">
        <f>IFERROR('CashFlow Data'!G16,0)</f>
        <v>-1913</v>
      </c>
      <c r="H90" s="25">
        <f>IFERROR('CashFlow Data'!H16,0)</f>
        <v>-5128</v>
      </c>
      <c r="I90" s="25">
        <f>IFERROR('CashFlow Data'!I16,0)</f>
        <v>-5533</v>
      </c>
    </row>
    <row r="91" spans="2:9" x14ac:dyDescent="0.3">
      <c r="B91" t="s">
        <v>114</v>
      </c>
      <c r="C91" s="25">
        <f>IFERROR('CashFlow Data'!C17,0)</f>
        <v>0</v>
      </c>
      <c r="D91" s="25">
        <f>IFERROR('CashFlow Data'!D17,0)</f>
        <v>21</v>
      </c>
      <c r="E91" s="25">
        <f>IFERROR('CashFlow Data'!E17,0)</f>
        <v>31</v>
      </c>
      <c r="F91" s="25">
        <f>IFERROR('CashFlow Data'!F17,0)</f>
        <v>109</v>
      </c>
      <c r="G91" s="25">
        <f>IFERROR('CashFlow Data'!G17,0)</f>
        <v>1906</v>
      </c>
      <c r="H91" s="25">
        <f>IFERROR('CashFlow Data'!H17,0)</f>
        <v>5151</v>
      </c>
      <c r="I91" s="25">
        <f>IFERROR('CashFlow Data'!I17,0)</f>
        <v>4688</v>
      </c>
    </row>
    <row r="92" spans="2:9" x14ac:dyDescent="0.3">
      <c r="B92" t="s">
        <v>115</v>
      </c>
      <c r="C92" s="25">
        <f>IFERROR('CashFlow Data'!C18,0)</f>
        <v>13</v>
      </c>
      <c r="D92" s="25">
        <f>IFERROR('CashFlow Data'!D18,0)</f>
        <v>17</v>
      </c>
      <c r="E92" s="25">
        <f>IFERROR('CashFlow Data'!E18,0)</f>
        <v>9</v>
      </c>
      <c r="F92" s="25">
        <f>IFERROR('CashFlow Data'!F18,0)</f>
        <v>30</v>
      </c>
      <c r="G92" s="25">
        <f>IFERROR('CashFlow Data'!G18,0)</f>
        <v>125</v>
      </c>
      <c r="H92" s="25">
        <f>IFERROR('CashFlow Data'!H18,0)</f>
        <v>298</v>
      </c>
      <c r="I92" s="25">
        <f>IFERROR('CashFlow Data'!I18,0)</f>
        <v>543</v>
      </c>
    </row>
    <row r="93" spans="2:9" x14ac:dyDescent="0.3">
      <c r="B93" t="s">
        <v>116</v>
      </c>
      <c r="C93" s="25">
        <f>IFERROR('CashFlow Data'!C19,0)</f>
        <v>0</v>
      </c>
      <c r="D93" s="25">
        <f>IFERROR('CashFlow Data'!D19,0)</f>
        <v>0</v>
      </c>
      <c r="E93" s="25">
        <f>IFERROR('CashFlow Data'!E19,0)</f>
        <v>42</v>
      </c>
      <c r="F93" s="25">
        <f>IFERROR('CashFlow Data'!F19,0)</f>
        <v>0</v>
      </c>
      <c r="G93" s="25">
        <f>IFERROR('CashFlow Data'!G19,0)</f>
        <v>0</v>
      </c>
      <c r="H93" s="25">
        <f>IFERROR('CashFlow Data'!H19,0)</f>
        <v>0</v>
      </c>
      <c r="I93" s="25">
        <f>IFERROR('CashFlow Data'!I19,0)</f>
        <v>0</v>
      </c>
    </row>
    <row r="94" spans="2:9" x14ac:dyDescent="0.3">
      <c r="B94" t="s">
        <v>117</v>
      </c>
      <c r="C94" s="25">
        <f>IFERROR('CashFlow Data'!C20,0)</f>
        <v>-20</v>
      </c>
      <c r="D94" s="25">
        <f>IFERROR('CashFlow Data'!D20,0)</f>
        <v>-2</v>
      </c>
      <c r="E94" s="25">
        <f>IFERROR('CashFlow Data'!E20,0)</f>
        <v>0</v>
      </c>
      <c r="F94" s="25">
        <f>IFERROR('CashFlow Data'!F20,0)</f>
        <v>0</v>
      </c>
      <c r="G94" s="25">
        <f>IFERROR('CashFlow Data'!G20,0)</f>
        <v>0</v>
      </c>
      <c r="H94" s="25">
        <f>IFERROR('CashFlow Data'!H20,0)</f>
        <v>0</v>
      </c>
      <c r="I94" s="25">
        <f>IFERROR('CashFlow Data'!I20,0)</f>
        <v>0</v>
      </c>
    </row>
    <row r="95" spans="2:9" x14ac:dyDescent="0.3">
      <c r="B95" t="s">
        <v>118</v>
      </c>
      <c r="C95" s="25">
        <f>IFERROR('CashFlow Data'!C21,0)</f>
        <v>37</v>
      </c>
      <c r="D95" s="25">
        <f>IFERROR('CashFlow Data'!D21,0)</f>
        <v>-133</v>
      </c>
      <c r="E95" s="25">
        <f>IFERROR('CashFlow Data'!E21,0)</f>
        <v>-98</v>
      </c>
      <c r="F95" s="25">
        <f>IFERROR('CashFlow Data'!F21,0)</f>
        <v>-1365</v>
      </c>
      <c r="G95" s="25">
        <f>IFERROR('CashFlow Data'!G21,0)</f>
        <v>-2126</v>
      </c>
      <c r="H95" s="25">
        <f>IFERROR('CashFlow Data'!H21,0)</f>
        <v>-3854</v>
      </c>
      <c r="I95" s="25">
        <f>IFERROR('CashFlow Data'!I21,0)</f>
        <v>1184</v>
      </c>
    </row>
    <row r="96" spans="2:9" x14ac:dyDescent="0.3">
      <c r="B96" s="2" t="s">
        <v>135</v>
      </c>
      <c r="C96" s="27">
        <f t="shared" ref="C96:I96" si="79">SUM(C87:C95)</f>
        <v>-21</v>
      </c>
      <c r="D96" s="27">
        <f t="shared" si="79"/>
        <v>-250</v>
      </c>
      <c r="E96" s="27">
        <f t="shared" si="79"/>
        <v>-672</v>
      </c>
      <c r="F96" s="27">
        <f t="shared" si="79"/>
        <v>-2087</v>
      </c>
      <c r="G96" s="27">
        <f t="shared" si="79"/>
        <v>-3345</v>
      </c>
      <c r="H96" s="27">
        <f t="shared" si="79"/>
        <v>-6806</v>
      </c>
      <c r="I96" s="27">
        <f t="shared" si="79"/>
        <v>-3954</v>
      </c>
    </row>
    <row r="98" spans="1:10" x14ac:dyDescent="0.3">
      <c r="B98" s="2" t="s">
        <v>136</v>
      </c>
    </row>
    <row r="99" spans="1:10" x14ac:dyDescent="0.3">
      <c r="B99" t="s">
        <v>119</v>
      </c>
      <c r="C99" s="25">
        <f>IFERROR('CashFlow Data'!C23,0)</f>
        <v>0</v>
      </c>
      <c r="D99" s="25">
        <f>IFERROR('CashFlow Data'!D23,0)</f>
        <v>0</v>
      </c>
      <c r="E99" s="25">
        <f>IFERROR('CashFlow Data'!E23,0)</f>
        <v>0</v>
      </c>
      <c r="F99" s="25">
        <f>IFERROR('CashFlow Data'!F23,0)</f>
        <v>1040</v>
      </c>
      <c r="G99" s="25">
        <f>IFERROR('CashFlow Data'!G23,0)</f>
        <v>1004</v>
      </c>
      <c r="H99" s="25">
        <f>IFERROR('CashFlow Data'!H23,0)</f>
        <v>3508</v>
      </c>
      <c r="I99" s="25">
        <f>IFERROR('CashFlow Data'!I23,0)</f>
        <v>1540</v>
      </c>
      <c r="J99" s="25"/>
    </row>
    <row r="100" spans="1:10" x14ac:dyDescent="0.3">
      <c r="B100" t="s">
        <v>120</v>
      </c>
      <c r="C100" s="25">
        <f>IFERROR('CashFlow Data'!C24,0)</f>
        <v>0</v>
      </c>
      <c r="D100" s="25">
        <f>IFERROR('CashFlow Data'!D24,0)</f>
        <v>184</v>
      </c>
      <c r="E100" s="25">
        <f>IFERROR('CashFlow Data'!E24,0)</f>
        <v>141</v>
      </c>
      <c r="F100" s="25">
        <f>IFERROR('CashFlow Data'!F24,0)</f>
        <v>16</v>
      </c>
      <c r="G100" s="25">
        <f>IFERROR('CashFlow Data'!G24,0)</f>
        <v>779</v>
      </c>
      <c r="H100" s="25">
        <f>IFERROR('CashFlow Data'!H24,0)</f>
        <v>809</v>
      </c>
      <c r="I100" s="25">
        <f>IFERROR('CashFlow Data'!I24,0)</f>
        <v>7669</v>
      </c>
      <c r="J100" s="25"/>
    </row>
    <row r="101" spans="1:10" x14ac:dyDescent="0.3">
      <c r="B101" t="s">
        <v>121</v>
      </c>
      <c r="C101" s="25">
        <f>IFERROR('CashFlow Data'!C25,0)</f>
        <v>-21</v>
      </c>
      <c r="D101" s="25">
        <f>IFERROR('CashFlow Data'!D25,0)</f>
        <v>0</v>
      </c>
      <c r="E101" s="25">
        <f>IFERROR('CashFlow Data'!E25,0)</f>
        <v>0</v>
      </c>
      <c r="F101" s="25">
        <f>IFERROR('CashFlow Data'!F25,0)</f>
        <v>-167</v>
      </c>
      <c r="G101" s="25">
        <f>IFERROR('CashFlow Data'!G25,0)</f>
        <v>-738</v>
      </c>
      <c r="H101" s="25">
        <f>IFERROR('CashFlow Data'!H25,0)</f>
        <v>-187</v>
      </c>
      <c r="I101" s="25">
        <f>IFERROR('CashFlow Data'!I25,0)</f>
        <v>-6116</v>
      </c>
      <c r="J101" s="25"/>
    </row>
    <row r="102" spans="1:10" x14ac:dyDescent="0.3">
      <c r="B102" t="s">
        <v>122</v>
      </c>
      <c r="C102" s="25">
        <f>IFERROR('CashFlow Data'!C26,0)</f>
        <v>-25</v>
      </c>
      <c r="D102" s="25">
        <f>IFERROR('CashFlow Data'!D26,0)</f>
        <v>-23</v>
      </c>
      <c r="E102" s="25">
        <f>IFERROR('CashFlow Data'!E26,0)</f>
        <v>-29</v>
      </c>
      <c r="F102" s="25">
        <f>IFERROR('CashFlow Data'!F26,0)</f>
        <v>-69</v>
      </c>
      <c r="G102" s="25">
        <f>IFERROR('CashFlow Data'!G26,0)</f>
        <v>-121</v>
      </c>
      <c r="H102" s="25">
        <f>IFERROR('CashFlow Data'!H26,0)</f>
        <v>-71</v>
      </c>
      <c r="I102" s="25">
        <f>IFERROR('CashFlow Data'!I26,0)</f>
        <v>-161</v>
      </c>
      <c r="J102" s="25"/>
    </row>
    <row r="103" spans="1:10" x14ac:dyDescent="0.3">
      <c r="B103" t="s">
        <v>123</v>
      </c>
      <c r="C103" s="25">
        <f>IFERROR('CashFlow Data'!C27,0)</f>
        <v>0</v>
      </c>
      <c r="D103" s="25">
        <f>IFERROR('CashFlow Data'!D27,0)</f>
        <v>0</v>
      </c>
      <c r="E103" s="25">
        <f>IFERROR('CashFlow Data'!E27,0)</f>
        <v>0</v>
      </c>
      <c r="F103" s="25">
        <f>IFERROR('CashFlow Data'!F27,0)</f>
        <v>0</v>
      </c>
      <c r="G103" s="25">
        <f>IFERROR('CashFlow Data'!G27,0)</f>
        <v>-1</v>
      </c>
      <c r="H103" s="25">
        <f>IFERROR('CashFlow Data'!H27,0)</f>
        <v>0</v>
      </c>
      <c r="I103" s="25">
        <f>IFERROR('CashFlow Data'!I27,0)</f>
        <v>-58</v>
      </c>
      <c r="J103" s="25"/>
    </row>
    <row r="104" spans="1:10" x14ac:dyDescent="0.3">
      <c r="B104" t="s">
        <v>124</v>
      </c>
      <c r="C104" s="25">
        <f>IFERROR('CashFlow Data'!C28,0)</f>
        <v>-4</v>
      </c>
      <c r="D104" s="25">
        <f>IFERROR('CashFlow Data'!D28,0)</f>
        <v>0</v>
      </c>
      <c r="E104" s="25">
        <f>IFERROR('CashFlow Data'!E28,0)</f>
        <v>-10</v>
      </c>
      <c r="F104" s="25">
        <f>IFERROR('CashFlow Data'!F28,0)</f>
        <v>-8</v>
      </c>
      <c r="G104" s="25">
        <f>IFERROR('CashFlow Data'!G28,0)</f>
        <v>-15</v>
      </c>
      <c r="H104" s="25">
        <f>IFERROR('CashFlow Data'!H28,0)</f>
        <v>-23</v>
      </c>
      <c r="I104" s="25">
        <f>IFERROR('CashFlow Data'!I28,0)</f>
        <v>-301</v>
      </c>
      <c r="J104" s="25"/>
    </row>
    <row r="105" spans="1:10" x14ac:dyDescent="0.3">
      <c r="B105" t="s">
        <v>125</v>
      </c>
      <c r="C105" s="25">
        <f>IFERROR('CashFlow Data'!C29,0)</f>
        <v>0</v>
      </c>
      <c r="D105" s="25">
        <f>IFERROR('CashFlow Data'!D29,0)</f>
        <v>0</v>
      </c>
      <c r="E105" s="25">
        <f>IFERROR('CashFlow Data'!E29,0)</f>
        <v>0</v>
      </c>
      <c r="F105" s="25">
        <f>IFERROR('CashFlow Data'!F29,0)</f>
        <v>-169</v>
      </c>
      <c r="G105" s="25">
        <f>IFERROR('CashFlow Data'!G29,0)</f>
        <v>-1</v>
      </c>
      <c r="H105" s="25">
        <f>IFERROR('CashFlow Data'!H29,0)</f>
        <v>0</v>
      </c>
      <c r="I105" s="25">
        <f>IFERROR('CashFlow Data'!I29,0)</f>
        <v>0</v>
      </c>
      <c r="J105" s="25"/>
    </row>
    <row r="106" spans="1:10" x14ac:dyDescent="0.3">
      <c r="B106" s="2" t="s">
        <v>137</v>
      </c>
      <c r="C106" s="25">
        <f>SUM(C99:C105)</f>
        <v>-50</v>
      </c>
      <c r="D106" s="25">
        <f t="shared" ref="D106:I106" si="80">SUM(D99:D105)</f>
        <v>161</v>
      </c>
      <c r="E106" s="25">
        <f t="shared" si="80"/>
        <v>102</v>
      </c>
      <c r="F106" s="25">
        <f t="shared" si="80"/>
        <v>643</v>
      </c>
      <c r="G106" s="25">
        <f t="shared" si="80"/>
        <v>907</v>
      </c>
      <c r="H106" s="25">
        <f t="shared" si="80"/>
        <v>4036</v>
      </c>
      <c r="I106" s="25">
        <f t="shared" si="80"/>
        <v>2573</v>
      </c>
      <c r="J106" s="27"/>
    </row>
    <row r="108" spans="1:10" x14ac:dyDescent="0.3">
      <c r="B108" t="s">
        <v>34</v>
      </c>
      <c r="C108" s="27">
        <f t="shared" ref="C108:I108" si="81">IFERROR(C84+C96+C106,0)</f>
        <v>-10</v>
      </c>
      <c r="D108" s="27">
        <f t="shared" si="81"/>
        <v>-41</v>
      </c>
      <c r="E108" s="27">
        <f t="shared" si="81"/>
        <v>661</v>
      </c>
      <c r="F108" s="27">
        <f t="shared" si="81"/>
        <v>836</v>
      </c>
      <c r="G108" s="27">
        <f t="shared" si="81"/>
        <v>459</v>
      </c>
      <c r="H108" s="27">
        <f t="shared" si="81"/>
        <v>1545</v>
      </c>
      <c r="I108" s="27">
        <f t="shared" si="81"/>
        <v>-2894</v>
      </c>
    </row>
    <row r="110" spans="1:10" x14ac:dyDescent="0.3">
      <c r="A110" t="s">
        <v>78</v>
      </c>
      <c r="B110" s="24" t="s">
        <v>131</v>
      </c>
      <c r="C110" s="24"/>
      <c r="D110" s="24"/>
      <c r="E110" s="24"/>
      <c r="F110" s="24"/>
      <c r="G110" s="24"/>
      <c r="H110" s="24"/>
      <c r="I110" s="24"/>
      <c r="J110" s="24"/>
    </row>
    <row r="112" spans="1:10" x14ac:dyDescent="0.3">
      <c r="B112" t="s">
        <v>167</v>
      </c>
      <c r="C112" s="25">
        <f>IFERROR('Data Sheet'!E82,0)</f>
        <v>83.24</v>
      </c>
      <c r="D112" s="25">
        <f>IFERROR('Data Sheet'!F82,0)</f>
        <v>67.28</v>
      </c>
      <c r="E112" s="25">
        <f>IFERROR('Data Sheet'!G82,0)</f>
        <v>697.96</v>
      </c>
      <c r="F112" s="25">
        <f>IFERROR('Data Sheet'!H82,0)</f>
        <v>1560.23</v>
      </c>
      <c r="G112" s="25">
        <f>IFERROR('Data Sheet'!I82,0)</f>
        <v>2305.04</v>
      </c>
      <c r="H112" s="25">
        <f>IFERROR('Data Sheet'!J82,0)</f>
        <v>3158.21</v>
      </c>
      <c r="I112" s="25">
        <f>IFERROR('Data Sheet'!K82,0)</f>
        <v>1626.95</v>
      </c>
    </row>
    <row r="113" spans="2:9" x14ac:dyDescent="0.3">
      <c r="C113" s="25"/>
      <c r="D113" s="25"/>
      <c r="E113" s="25"/>
      <c r="F113" s="25"/>
      <c r="G113" s="25"/>
      <c r="H113" s="25"/>
      <c r="I113" s="25"/>
    </row>
    <row r="114" spans="2:9" x14ac:dyDescent="0.3">
      <c r="B114" s="6" t="s">
        <v>32</v>
      </c>
      <c r="C114" s="25">
        <f>IFERROR('Data Sheet'!E83,0)</f>
        <v>-21.83</v>
      </c>
      <c r="D114" s="25">
        <f>IFERROR('Data Sheet'!F83,0)</f>
        <v>-249.69</v>
      </c>
      <c r="E114" s="25">
        <f>IFERROR('Data Sheet'!G83,0)</f>
        <v>-672.65</v>
      </c>
      <c r="F114" s="25">
        <f>IFERROR('Data Sheet'!H83,0)</f>
        <v>-2088.2399999999998</v>
      </c>
      <c r="G114" s="25">
        <f>IFERROR('Data Sheet'!I83,0)</f>
        <v>-3346.49</v>
      </c>
      <c r="H114" s="25">
        <f>IFERROR('Data Sheet'!J83,0)</f>
        <v>-6805.51</v>
      </c>
      <c r="I114" s="25">
        <f>IFERROR('Data Sheet'!K83,0)</f>
        <v>-3953.18</v>
      </c>
    </row>
    <row r="115" spans="2:9" x14ac:dyDescent="0.3">
      <c r="C115" s="25"/>
      <c r="D115" s="25"/>
      <c r="E115" s="25"/>
      <c r="F115" s="25"/>
      <c r="G115" s="25"/>
      <c r="H115" s="25"/>
      <c r="I115" s="25"/>
    </row>
    <row r="116" spans="2:9" x14ac:dyDescent="0.3">
      <c r="B116" s="6" t="s">
        <v>33</v>
      </c>
      <c r="C116" s="25">
        <f>IFERROR('Data Sheet'!E84,0)</f>
        <v>-49.78</v>
      </c>
      <c r="D116" s="25">
        <f>IFERROR('Data Sheet'!F84,0)</f>
        <v>161.33000000000001</v>
      </c>
      <c r="E116" s="25">
        <f>IFERROR('Data Sheet'!G84,0)</f>
        <v>101.06</v>
      </c>
      <c r="F116" s="25">
        <f>IFERROR('Data Sheet'!H84,0)</f>
        <v>642.48</v>
      </c>
      <c r="G116" s="25">
        <f>IFERROR('Data Sheet'!I84,0)</f>
        <v>909.19</v>
      </c>
      <c r="H116" s="25">
        <f>IFERROR('Data Sheet'!J84,0)</f>
        <v>4035.74</v>
      </c>
      <c r="I116" s="25">
        <f>IFERROR('Data Sheet'!K84,0)</f>
        <v>2573.11</v>
      </c>
    </row>
    <row r="118" spans="2:9" x14ac:dyDescent="0.3">
      <c r="B118" s="27" t="s">
        <v>34</v>
      </c>
      <c r="C118" s="27">
        <f t="shared" ref="C118:I118" si="82">SUM(C116,C114,C112)</f>
        <v>11.629999999999995</v>
      </c>
      <c r="D118" s="27">
        <f t="shared" si="82"/>
        <v>-21.079999999999984</v>
      </c>
      <c r="E118" s="27">
        <f t="shared" si="82"/>
        <v>126.37000000000012</v>
      </c>
      <c r="F118" s="27">
        <f t="shared" si="82"/>
        <v>114.47000000000025</v>
      </c>
      <c r="G118" s="27">
        <f t="shared" si="82"/>
        <v>-132.25999999999976</v>
      </c>
      <c r="H118" s="27">
        <f t="shared" si="82"/>
        <v>388.4399999999996</v>
      </c>
      <c r="I118" s="27">
        <f t="shared" si="82"/>
        <v>246.88000000000034</v>
      </c>
    </row>
  </sheetData>
  <mergeCells count="1">
    <mergeCell ref="B2:J2"/>
  </mergeCells>
  <pageMargins left="0.7" right="0.7" top="0.75" bottom="0.75" header="0.3" footer="0.3"/>
  <pageSetup orientation="portrait" r:id="rId1"/>
  <ignoredErrors>
    <ignoredError sqref="C15:I15 J3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ED409-270A-4703-A5DB-9042838CE395}">
  <dimension ref="B2:L41"/>
  <sheetViews>
    <sheetView showGridLines="0" tabSelected="1" zoomScaleNormal="100" workbookViewId="0">
      <pane ySplit="3" topLeftCell="A14" activePane="bottomLeft" state="frozen"/>
      <selection pane="bottomLeft" activeCell="K19" sqref="K19"/>
    </sheetView>
  </sheetViews>
  <sheetFormatPr defaultRowHeight="14.4" x14ac:dyDescent="0.3"/>
  <cols>
    <col min="1" max="1" width="2.33203125" customWidth="1"/>
    <col min="2" max="2" width="20.44140625" bestFit="1" customWidth="1"/>
    <col min="3" max="3" width="9" customWidth="1"/>
    <col min="4" max="4" width="9" bestFit="1" customWidth="1"/>
    <col min="5" max="5" width="9.6640625" bestFit="1" customWidth="1"/>
    <col min="6" max="6" width="9" bestFit="1" customWidth="1"/>
    <col min="7" max="7" width="8.6640625" bestFit="1" customWidth="1"/>
    <col min="8" max="9" width="9" bestFit="1" customWidth="1"/>
    <col min="10" max="10" width="16.44140625" customWidth="1"/>
    <col min="11" max="11" width="15.33203125" customWidth="1"/>
    <col min="12" max="12" width="11.33203125" customWidth="1"/>
  </cols>
  <sheetData>
    <row r="2" spans="2:12" x14ac:dyDescent="0.3">
      <c r="B2" s="78" t="str">
        <f>"Ratio Analysis - "&amp;UPDATE</f>
        <v>Ratio Analysis - WAAREE ENERGIES LTD</v>
      </c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2:12" x14ac:dyDescent="0.3">
      <c r="B3" s="17" t="s">
        <v>75</v>
      </c>
      <c r="C3" s="18">
        <f>'Data Sheet'!E16</f>
        <v>43921</v>
      </c>
      <c r="D3" s="18">
        <f>'Data Sheet'!F16</f>
        <v>44286</v>
      </c>
      <c r="E3" s="18">
        <f>'Data Sheet'!G16</f>
        <v>44651</v>
      </c>
      <c r="F3" s="18">
        <f>'Data Sheet'!H16</f>
        <v>45016</v>
      </c>
      <c r="G3" s="18">
        <f>'Data Sheet'!I16</f>
        <v>45382</v>
      </c>
      <c r="H3" s="18">
        <f>'Data Sheet'!J16</f>
        <v>45747</v>
      </c>
      <c r="I3" s="18">
        <f>'Data Sheet'!K16</f>
        <v>46112</v>
      </c>
      <c r="J3" s="19" t="s">
        <v>173</v>
      </c>
      <c r="K3" s="18" t="s">
        <v>171</v>
      </c>
      <c r="L3" s="18" t="s">
        <v>172</v>
      </c>
    </row>
    <row r="4" spans="2:12" x14ac:dyDescent="0.3">
      <c r="L4" s="43"/>
    </row>
    <row r="5" spans="2:12" x14ac:dyDescent="0.3">
      <c r="B5" s="40" t="s">
        <v>138</v>
      </c>
      <c r="C5" s="41">
        <f>IFERROR(HistoricalFS!C7,0)</f>
        <v>0</v>
      </c>
      <c r="D5" s="41">
        <f>IFERROR(HistoricalFS!D7,0)</f>
        <v>-2.1545460922546611E-2</v>
      </c>
      <c r="E5" s="41">
        <f>IFERROR(HistoricalFS!E7,0)</f>
        <v>0.46164442487120927</v>
      </c>
      <c r="F5" s="41">
        <f>IFERROR(HistoricalFS!F7,0)</f>
        <v>1.3651826911959977</v>
      </c>
      <c r="G5" s="41">
        <f>IFERROR(HistoricalFS!G7,0)</f>
        <v>0.68831720948559227</v>
      </c>
      <c r="H5" s="41">
        <f>IFERROR(HistoricalFS!H7,0)</f>
        <v>0.26732709752307704</v>
      </c>
      <c r="I5" s="41">
        <f>IFERROR(HistoricalFS!I7,0)</f>
        <v>0.83715393402333071</v>
      </c>
      <c r="J5" s="40"/>
      <c r="K5" s="41">
        <f>IFERROR(AVERAGE(C5:I5),0)</f>
        <v>0.51401141373952286</v>
      </c>
      <c r="L5" s="42">
        <f>IFERROR(MEDIAN(C5:I5),0)</f>
        <v>0.46164442487120927</v>
      </c>
    </row>
    <row r="6" spans="2:12" x14ac:dyDescent="0.3">
      <c r="B6" t="s">
        <v>139</v>
      </c>
      <c r="C6" s="42">
        <f>IFERROR(HistoricalFS!C19,0)</f>
        <v>0</v>
      </c>
      <c r="D6" s="42">
        <f>IFERROR(HistoricalFS!D18/HistoricalFS!C18-1,0)</f>
        <v>-8.5588013366387217E-2</v>
      </c>
      <c r="E6" s="42">
        <f>IFERROR(HistoricalFS!E18/HistoricalFS!D18-1,0)</f>
        <v>0.24896852528586622</v>
      </c>
      <c r="F6" s="42">
        <f>IFERROR(HistoricalFS!F18/HistoricalFS!E18-1,0)</f>
        <v>6.8887210948560593</v>
      </c>
      <c r="G6" s="42">
        <f>IFERROR(HistoricalFS!G18/HistoricalFS!F18-1,0)</f>
        <v>0.88371759131860195</v>
      </c>
      <c r="H6" s="42">
        <f>IFERROR(HistoricalFS!H18/HistoricalFS!G18-1,0)</f>
        <v>0.72865100385536219</v>
      </c>
      <c r="I6" s="42">
        <f>IFERROR(HistoricalFS!I18/HistoricalFS!H18-1,0)</f>
        <v>1.1709851413118577</v>
      </c>
      <c r="K6" s="42">
        <f>IFERROR(AVERAGE(C6:I6),0)</f>
        <v>1.4050650490373371</v>
      </c>
      <c r="L6" s="42">
        <f>IFERROR(MEDIAN(C6:I6),0)</f>
        <v>0.72865100385536219</v>
      </c>
    </row>
    <row r="7" spans="2:12" x14ac:dyDescent="0.3">
      <c r="B7" t="s">
        <v>142</v>
      </c>
      <c r="C7" s="42">
        <f>IFERROR(HistoricalFS!C30,0)</f>
        <v>0</v>
      </c>
      <c r="D7" s="42">
        <f>IFERROR(HistoricalFS!D32/HistoricalFS!C32-1,0)</f>
        <v>0.22760800842993212</v>
      </c>
      <c r="E7" s="42">
        <f>IFERROR(HistoricalFS!E32/HistoricalFS!D32-1,0)</f>
        <v>0.69356223175965726</v>
      </c>
      <c r="F7" s="42">
        <f>IFERROR(HistoricalFS!F32/HistoricalFS!E32-1,0)</f>
        <v>4.7201385369150159</v>
      </c>
      <c r="G7" s="42">
        <f>IFERROR(HistoricalFS!G32/HistoricalFS!F32-1,0)</f>
        <v>1.5610278372591018</v>
      </c>
      <c r="H7" s="42">
        <f>IFERROR(HistoricalFS!H32/HistoricalFS!G32-1,0)</f>
        <v>0.47886056971514135</v>
      </c>
      <c r="I7" s="42">
        <f>IFERROR(HistoricalFS!I32/HistoricalFS!H32-1,0)</f>
        <v>0.96978523301516151</v>
      </c>
      <c r="K7" s="42">
        <f>IFERROR(AVERAGE(C7:I7),0)</f>
        <v>1.23585463101343</v>
      </c>
      <c r="L7" s="42">
        <f>IFERROR(MEDIAN(C7:I7),0)</f>
        <v>0.69356223175965726</v>
      </c>
    </row>
    <row r="8" spans="2:12" x14ac:dyDescent="0.3">
      <c r="B8" t="s">
        <v>140</v>
      </c>
      <c r="C8" s="42">
        <f>IFERROR(HistoricalFS!C39,0)</f>
        <v>0</v>
      </c>
      <c r="D8" s="42">
        <f>IFERROR(HistoricalFS!D38/HistoricalFS!C38-1,0)</f>
        <v>0.23475140953358142</v>
      </c>
      <c r="E8" s="42">
        <f>IFERROR(HistoricalFS!E38/HistoricalFS!D38-1,0)</f>
        <v>0.65338314653383245</v>
      </c>
      <c r="F8" s="42">
        <f>IFERROR(HistoricalFS!F38/HistoricalFS!E38-1,0)</f>
        <v>5.2800652774290677</v>
      </c>
      <c r="G8" s="42">
        <f>IFERROR(HistoricalFS!G38/HistoricalFS!F38-1,0)</f>
        <v>1.547384412417296</v>
      </c>
      <c r="H8" s="42">
        <f>IFERROR(HistoricalFS!H38/HistoricalFS!G38-1,0)</f>
        <v>0.51299455421459683</v>
      </c>
      <c r="I8" s="42">
        <f>IFERROR(HistoricalFS!I38/HistoricalFS!H38-1,0)</f>
        <v>1.0144647923117236</v>
      </c>
      <c r="K8" s="42">
        <f>IFERROR(AVERAGE(C8:I8),0)</f>
        <v>1.320434798920014</v>
      </c>
      <c r="L8" s="42">
        <f>IFERROR(MEDIAN(C8:I8),0)</f>
        <v>0.65338314653383245</v>
      </c>
    </row>
    <row r="9" spans="2:12" x14ac:dyDescent="0.3">
      <c r="B9" s="43" t="s">
        <v>141</v>
      </c>
      <c r="C9" s="44">
        <f>IFERROR(HistoricalFS!C47,0)</f>
        <v>0</v>
      </c>
      <c r="D9" s="44">
        <f>IFERROR(HistoricalFS!D46/HistoricalFS!C46-1,0)</f>
        <v>0</v>
      </c>
      <c r="E9" s="44">
        <f>IFERROR(HistoricalFS!E46/HistoricalFS!D46-1,0)</f>
        <v>0</v>
      </c>
      <c r="F9" s="44">
        <f>IFERROR(HistoricalFS!F46/HistoricalFS!E46-1,0)</f>
        <v>0</v>
      </c>
      <c r="G9" s="44">
        <f>IFERROR(HistoricalFS!G46/HistoricalFS!F46-1,0)</f>
        <v>0</v>
      </c>
      <c r="H9" s="44">
        <f>IFERROR(HistoricalFS!H46/HistoricalFS!G46-1,0)</f>
        <v>0</v>
      </c>
      <c r="I9" s="44">
        <f>IFERROR(HistoricalFS!I46/HistoricalFS!H46-1,0)</f>
        <v>0</v>
      </c>
      <c r="J9" s="43"/>
      <c r="K9" s="44">
        <f>IFERROR(AVERAGE(C9:I9),0)</f>
        <v>0</v>
      </c>
      <c r="L9" s="42">
        <f>IFERROR(MEDIAN(C9:I9),0)</f>
        <v>0</v>
      </c>
    </row>
    <row r="10" spans="2:12" x14ac:dyDescent="0.3">
      <c r="L10" s="40"/>
    </row>
    <row r="11" spans="2:12" x14ac:dyDescent="0.3">
      <c r="B11" s="40" t="s">
        <v>88</v>
      </c>
      <c r="C11" s="41">
        <f>IFERROR(HistoricalFS!C13,0)</f>
        <v>0</v>
      </c>
      <c r="D11" s="41">
        <f>IFERROR(HistoricalFS!D13,0)</f>
        <v>-0.12215459525258521</v>
      </c>
      <c r="E11" s="41">
        <f>IFERROR(HistoricalFS!E13,0)</f>
        <v>0.30492962629134035</v>
      </c>
      <c r="F11" s="41">
        <f>IFERROR(HistoricalFS!F13,0)</f>
        <v>4.3820200839487784</v>
      </c>
      <c r="G11" s="41">
        <f>IFERROR(HistoricalFS!G13,0)</f>
        <v>1.1768201786860168</v>
      </c>
      <c r="H11" s="41">
        <f>IFERROR(HistoricalFS!H13,0)</f>
        <v>0.63328964494491991</v>
      </c>
      <c r="I11" s="41">
        <f>IFERROR(HistoricalFS!I13,0)</f>
        <v>1.1815228437671821</v>
      </c>
      <c r="J11" s="51"/>
      <c r="K11" s="41">
        <f>IFERROR(AVERAGE(C11:I11),0)</f>
        <v>1.0794896831979504</v>
      </c>
      <c r="L11" s="41">
        <f>IFERROR(MEDIAN(C11:I11),0)</f>
        <v>0.63328964494491991</v>
      </c>
    </row>
    <row r="12" spans="2:12" x14ac:dyDescent="0.3">
      <c r="B12" t="s">
        <v>143</v>
      </c>
      <c r="C12" s="42">
        <f>IFERROR(HistoricalFS!C19,0)</f>
        <v>0</v>
      </c>
      <c r="D12" s="42">
        <f>IFERROR(HistoricalFS!D19,0)</f>
        <v>-8.5588013366387217E-2</v>
      </c>
      <c r="E12" s="42">
        <f>IFERROR(HistoricalFS!E19,0)</f>
        <v>0.24896852528586622</v>
      </c>
      <c r="F12" s="42">
        <f>IFERROR(HistoricalFS!F19,0)</f>
        <v>6.8887210948560593</v>
      </c>
      <c r="G12" s="42">
        <f>IFERROR(HistoricalFS!G19,0)</f>
        <v>0.88371759131860195</v>
      </c>
      <c r="H12" s="42">
        <f>IFERROR(HistoricalFS!H19,0)</f>
        <v>0.72865100385536219</v>
      </c>
      <c r="I12" s="42">
        <f>IFERROR(HistoricalFS!I19,0)</f>
        <v>1.1709851413118577</v>
      </c>
      <c r="K12" s="42">
        <f>IFERROR(AVERAGE(C12:I12),0)</f>
        <v>1.4050650490373371</v>
      </c>
      <c r="L12" s="42">
        <f t="shared" ref="L12:L25" si="0">IFERROR(MEDIAN(C12:I12),0)</f>
        <v>0.72865100385536219</v>
      </c>
    </row>
    <row r="13" spans="2:12" x14ac:dyDescent="0.3">
      <c r="B13" t="s">
        <v>144</v>
      </c>
      <c r="C13" s="42">
        <f>IFERROR((HistoricalFS!C18-HistoricalFS!C26)/HistoricalFS!C6,0)</f>
        <v>3.2889396626882589E-2</v>
      </c>
      <c r="D13" s="42">
        <f>IFERROR((HistoricalFS!D18-HistoricalFS!D26)/HistoricalFS!D6,0)</f>
        <v>2.8764120894314779E-2</v>
      </c>
      <c r="E13" s="42">
        <f>IFERROR((HistoricalFS!E18-HistoricalFS!E26)/HistoricalFS!E6,0)</f>
        <v>2.1960080861306058E-2</v>
      </c>
      <c r="F13" s="42">
        <f>IFERROR((HistoricalFS!F18-HistoricalFS!F26)/HistoricalFS!F6,0)</f>
        <v>9.9495324306348637E-2</v>
      </c>
      <c r="G13" s="42">
        <f>IFERROR((HistoricalFS!G18-HistoricalFS!G26)/HistoricalFS!G6,0)</f>
        <v>0.11385018438076056</v>
      </c>
      <c r="H13" s="42">
        <f>IFERROR((HistoricalFS!H18-HistoricalFS!H26)/HistoricalFS!H6,0)</f>
        <v>0.16055869015888391</v>
      </c>
      <c r="I13" s="42">
        <f>IFERROR((HistoricalFS!I18-HistoricalFS!I26)/HistoricalFS!I6,0)</f>
        <v>0.18536242353534363</v>
      </c>
      <c r="K13" s="42">
        <f>IFERROR(AVERAGE(C13:I13),0)</f>
        <v>9.1840031537691449E-2</v>
      </c>
      <c r="L13" s="42">
        <f t="shared" si="0"/>
        <v>9.9495324306348637E-2</v>
      </c>
    </row>
    <row r="14" spans="2:12" x14ac:dyDescent="0.3">
      <c r="B14" t="s">
        <v>145</v>
      </c>
      <c r="C14" s="42">
        <f>IFERROR(HistoricalFS!C33,0)</f>
        <v>0</v>
      </c>
      <c r="D14" s="42">
        <f>IFERROR(HistoricalFS!D33,0)</f>
        <v>0.22760800842993212</v>
      </c>
      <c r="E14" s="42">
        <f>IFERROR(HistoricalFS!E33,0)</f>
        <v>0.69356223175965726</v>
      </c>
      <c r="F14" s="42">
        <f>IFERROR(HistoricalFS!F33,0)</f>
        <v>4.7201385369150159</v>
      </c>
      <c r="G14" s="42">
        <f>IFERROR(HistoricalFS!G33,0)</f>
        <v>1.5610278372591018</v>
      </c>
      <c r="H14" s="42">
        <f>IFERROR(HistoricalFS!H33,0)</f>
        <v>0.47886056971514135</v>
      </c>
      <c r="I14" s="42">
        <f>IFERROR(HistoricalFS!I33,0)</f>
        <v>0.96978523301516151</v>
      </c>
      <c r="K14" s="42">
        <f>IFERROR(AVERAGE(C14:I14),0)</f>
        <v>1.23585463101343</v>
      </c>
      <c r="L14" s="42">
        <f t="shared" si="0"/>
        <v>0.69356223175965726</v>
      </c>
    </row>
    <row r="15" spans="2:12" x14ac:dyDescent="0.3">
      <c r="B15" s="43" t="s">
        <v>146</v>
      </c>
      <c r="C15" s="44">
        <f>IFERROR(HistoricalFS!C39,0)</f>
        <v>0</v>
      </c>
      <c r="D15" s="44">
        <f>IFERROR(HistoricalFS!D39,0)</f>
        <v>0.23475140953358142</v>
      </c>
      <c r="E15" s="44">
        <f>IFERROR(HistoricalFS!E39,0)</f>
        <v>0.65338314653383245</v>
      </c>
      <c r="F15" s="44">
        <f>IFERROR(HistoricalFS!F39,0)</f>
        <v>5.2800652774290677</v>
      </c>
      <c r="G15" s="44">
        <f>IFERROR(HistoricalFS!G39,0)</f>
        <v>1.547384412417296</v>
      </c>
      <c r="H15" s="44">
        <f>IFERROR(HistoricalFS!H39,0)</f>
        <v>0.51299455421459683</v>
      </c>
      <c r="I15" s="44">
        <f>IFERROR(HistoricalFS!I39,0)</f>
        <v>1.0144647923117236</v>
      </c>
      <c r="J15" s="43"/>
      <c r="K15" s="44">
        <f>IFERROR(AVERAGE(C15:I15),0)</f>
        <v>1.320434798920014</v>
      </c>
      <c r="L15" s="44">
        <f t="shared" si="0"/>
        <v>0.65338314653383245</v>
      </c>
    </row>
    <row r="16" spans="2:12" x14ac:dyDescent="0.3">
      <c r="L16" s="42"/>
    </row>
    <row r="17" spans="2:12" x14ac:dyDescent="0.3">
      <c r="B17" s="40" t="s">
        <v>147</v>
      </c>
      <c r="C17" s="41">
        <f>IFERROR(HistoricalFS!C16,0)</f>
        <v>0</v>
      </c>
      <c r="D17" s="41">
        <f>IFERROR(HistoricalFS!D16,0)</f>
        <v>-0.16957919753949391</v>
      </c>
      <c r="E17" s="41">
        <f>IFERROR(HistoricalFS!E16,0)</f>
        <v>0.38484848484848477</v>
      </c>
      <c r="F17" s="41">
        <f>IFERROR(HistoricalFS!F16,0)</f>
        <v>1.1534159980549483</v>
      </c>
      <c r="G17" s="41">
        <f>IFERROR(HistoricalFS!G16,0)</f>
        <v>2.5597832223100374</v>
      </c>
      <c r="H17" s="41">
        <f>IFERROR(HistoricalFS!H16,0)</f>
        <v>0.39519172825018223</v>
      </c>
      <c r="I17" s="41">
        <f>IFERROR(HistoricalFS!I16,0)</f>
        <v>1.2141217122462433</v>
      </c>
      <c r="J17" s="40"/>
      <c r="K17" s="41">
        <f>IFERROR(AVERAGE(C17:I17),0)</f>
        <v>0.79111170688148591</v>
      </c>
      <c r="L17" s="41">
        <f t="shared" si="0"/>
        <v>0.39519172825018223</v>
      </c>
    </row>
    <row r="18" spans="2:12" x14ac:dyDescent="0.3">
      <c r="B18" t="s">
        <v>148</v>
      </c>
      <c r="C18" s="42">
        <f>IFERROR(HistoricalFS!C27,0)</f>
        <v>0</v>
      </c>
      <c r="D18" s="42">
        <f>IFERROR(HistoricalFS!D27,0)</f>
        <v>5.6395134537412517E-2</v>
      </c>
      <c r="E18" s="42">
        <f>IFERROR(HistoricalFS!E27,0)</f>
        <v>0.50976971388695058</v>
      </c>
      <c r="F18" s="42">
        <f>IFERROR(HistoricalFS!F27,0)</f>
        <v>2.7931592327247512</v>
      </c>
      <c r="G18" s="42">
        <f>IFERROR(HistoricalFS!G27,0)</f>
        <v>0.6865289709376714</v>
      </c>
      <c r="H18" s="42">
        <f>IFERROR(HistoricalFS!H27,0)</f>
        <v>0.45388533651240914</v>
      </c>
      <c r="I18" s="42">
        <f>IFERROR(HistoricalFS!I27,0)</f>
        <v>1.459237172319543</v>
      </c>
      <c r="K18" s="42">
        <f>IFERROR(AVERAGE(C18:I18),0)</f>
        <v>0.85128222298839107</v>
      </c>
      <c r="L18" s="42">
        <f t="shared" si="0"/>
        <v>0.50976971388695058</v>
      </c>
    </row>
    <row r="19" spans="2:12" x14ac:dyDescent="0.3">
      <c r="B19" s="43" t="s">
        <v>149</v>
      </c>
      <c r="C19" s="44">
        <f t="shared" ref="C19:I19" si="1">C13</f>
        <v>3.2889396626882589E-2</v>
      </c>
      <c r="D19" s="44">
        <f t="shared" si="1"/>
        <v>2.8764120894314779E-2</v>
      </c>
      <c r="E19" s="44">
        <f t="shared" si="1"/>
        <v>2.1960080861306058E-2</v>
      </c>
      <c r="F19" s="44">
        <f t="shared" si="1"/>
        <v>9.9495324306348637E-2</v>
      </c>
      <c r="G19" s="44">
        <f t="shared" si="1"/>
        <v>0.11385018438076056</v>
      </c>
      <c r="H19" s="44">
        <f t="shared" si="1"/>
        <v>0.16055869015888391</v>
      </c>
      <c r="I19" s="44">
        <f t="shared" si="1"/>
        <v>0.18536242353534363</v>
      </c>
      <c r="J19" s="43"/>
      <c r="K19" s="44">
        <f>IFERROR(AVERAGE(C19:I19),0)</f>
        <v>9.1840031537691449E-2</v>
      </c>
      <c r="L19" s="42">
        <f t="shared" si="0"/>
        <v>9.9495324306348637E-2</v>
      </c>
    </row>
    <row r="20" spans="2:12" x14ac:dyDescent="0.3">
      <c r="L20" s="41"/>
    </row>
    <row r="21" spans="2:12" x14ac:dyDescent="0.3">
      <c r="B21" s="40" t="s">
        <v>150</v>
      </c>
      <c r="C21" s="41">
        <f>IFERROR((HistoricalFS!C29)/(SUM(HistoricalFS!C53:C55)),0)</f>
        <v>0.14423520622294433</v>
      </c>
      <c r="D21" s="41">
        <f>IFERROR((HistoricalFS!D29)/(SUM(HistoricalFS!D53:D55)),0)</f>
        <v>8.2013169998101904E-2</v>
      </c>
      <c r="E21" s="41">
        <f>IFERROR((HistoricalFS!E29)/(SUM(HistoricalFS!E53:E55)),0)</f>
        <v>7.9235456223295378E-2</v>
      </c>
      <c r="F21" s="41">
        <f>IFERROR((HistoricalFS!F29)/(SUM(HistoricalFS!F53:F55)),0)</f>
        <v>0.31115311208701607</v>
      </c>
      <c r="G21" s="41">
        <f>IFERROR((HistoricalFS!G29)/(SUM(HistoricalFS!G53:G55)),0)</f>
        <v>0.27958717573041464</v>
      </c>
      <c r="H21" s="41">
        <f>IFERROR((HistoricalFS!H29)/(SUM(HistoricalFS!H53:H55)),0)</f>
        <v>0.2171894300438556</v>
      </c>
      <c r="I21" s="41">
        <f>IFERROR((HistoricalFS!I29)/(SUM(HistoricalFS!I53:I55)),0)</f>
        <v>0.27869298287361566</v>
      </c>
      <c r="J21" s="40"/>
      <c r="K21" s="41">
        <f>IFERROR(AVERAGE(C21:I21),0)</f>
        <v>0.19887236188274912</v>
      </c>
      <c r="L21" s="41">
        <f t="shared" si="0"/>
        <v>0.2171894300438556</v>
      </c>
    </row>
    <row r="22" spans="2:12" x14ac:dyDescent="0.3">
      <c r="B22" t="s">
        <v>151</v>
      </c>
      <c r="C22" s="42">
        <f>IFERROR(HistoricalFS!C49,0)</f>
        <v>1</v>
      </c>
      <c r="D22" s="42">
        <f>IFERROR(HistoricalFS!D49,0)</f>
        <v>1</v>
      </c>
      <c r="E22" s="42">
        <f>IFERROR(HistoricalFS!E49,0)</f>
        <v>1</v>
      </c>
      <c r="F22" s="42">
        <f>IFERROR(HistoricalFS!F49,0)</f>
        <v>1</v>
      </c>
      <c r="G22" s="42">
        <f>IFERROR(HistoricalFS!G49,0)</f>
        <v>1</v>
      </c>
      <c r="H22" s="42">
        <f>IFERROR(HistoricalFS!H49,0)</f>
        <v>1</v>
      </c>
      <c r="I22" s="42">
        <f>IFERROR(HistoricalFS!I49,0)</f>
        <v>1.0148114774146209</v>
      </c>
      <c r="K22" s="42">
        <f>IFERROR(AVERAGE(C22:I22),0)</f>
        <v>1.0021159253449459</v>
      </c>
      <c r="L22" s="42">
        <f t="shared" si="0"/>
        <v>1</v>
      </c>
    </row>
    <row r="23" spans="2:12" x14ac:dyDescent="0.3">
      <c r="B23" t="s">
        <v>152</v>
      </c>
      <c r="C23" s="42">
        <f>IFERROR(HistoricalFS!C38/SUM(HistoricalFS!C53:C54),0)</f>
        <v>0.13093081001274992</v>
      </c>
      <c r="D23" s="42">
        <f>IFERROR(HistoricalFS!D38/SUM(HistoricalFS!D53:D54),0)</f>
        <v>0.13965622191947594</v>
      </c>
      <c r="E23" s="42">
        <f>IFERROR(HistoricalFS!E38/SUM(HistoricalFS!E53:E54),0)</f>
        <v>0.18627382205074255</v>
      </c>
      <c r="F23" s="42">
        <f>IFERROR(HistoricalFS!F38/SUM(HistoricalFS!F53:F54),0)</f>
        <v>0.27212101761848551</v>
      </c>
      <c r="G23" s="42">
        <f>IFERROR(HistoricalFS!G38/SUM(HistoricalFS!G53:G54),0)</f>
        <v>0.31175128002524588</v>
      </c>
      <c r="H23" s="42">
        <f>IFERROR(HistoricalFS!H38/SUM(HistoricalFS!H53:H54),0)</f>
        <v>0.20340640560384826</v>
      </c>
      <c r="I23" s="42">
        <f>IFERROR(HistoricalFS!I38/SUM(HistoricalFS!I53:I54),0)</f>
        <v>0.26903501614563352</v>
      </c>
      <c r="K23" s="42">
        <f>IFERROR(AVERAGE(C23:I23),0)</f>
        <v>0.2161677961965974</v>
      </c>
      <c r="L23" s="42">
        <f t="shared" si="0"/>
        <v>0.20340640560384826</v>
      </c>
    </row>
    <row r="24" spans="2:12" x14ac:dyDescent="0.3">
      <c r="B24" t="s">
        <v>153</v>
      </c>
      <c r="C24" s="42">
        <f t="shared" ref="C24:I24" si="2">IFERROR(C22*C23,0)</f>
        <v>0.13093081001274992</v>
      </c>
      <c r="D24" s="42">
        <f t="shared" si="2"/>
        <v>0.13965622191947594</v>
      </c>
      <c r="E24" s="42">
        <f t="shared" si="2"/>
        <v>0.18627382205074255</v>
      </c>
      <c r="F24" s="42">
        <f t="shared" si="2"/>
        <v>0.27212101761848551</v>
      </c>
      <c r="G24" s="42">
        <f t="shared" si="2"/>
        <v>0.31175128002524588</v>
      </c>
      <c r="H24" s="42">
        <f t="shared" si="2"/>
        <v>0.20340640560384826</v>
      </c>
      <c r="I24" s="42">
        <f t="shared" si="2"/>
        <v>0.27301982221101673</v>
      </c>
      <c r="K24" s="42">
        <f>IFERROR(AVERAGE(C24:I24),0)</f>
        <v>0.21673705420593786</v>
      </c>
      <c r="L24" s="42">
        <f t="shared" si="0"/>
        <v>0.20340640560384826</v>
      </c>
    </row>
    <row r="25" spans="2:12" x14ac:dyDescent="0.3">
      <c r="B25" s="43" t="s">
        <v>154</v>
      </c>
      <c r="C25" s="45">
        <f>IFERROR((HistoricalFS!C18-HistoricalFS!C26)/HistoricalFS!C23,0)</f>
        <v>1.9471966775437475</v>
      </c>
      <c r="D25" s="45">
        <f>IFERROR((HistoricalFS!D18-HistoricalFS!D26)/HistoricalFS!D23,0)</f>
        <v>1.816623544631307</v>
      </c>
      <c r="E25" s="45">
        <f>IFERROR((HistoricalFS!E18-HistoricalFS!E26)/HistoricalFS!E23,0)</f>
        <v>1.5332681017612533</v>
      </c>
      <c r="F25" s="45">
        <f>IFERROR((HistoricalFS!F18-HistoricalFS!F26)/HistoricalFS!F23,0)</f>
        <v>8.1643369393460539</v>
      </c>
      <c r="G25" s="45">
        <f>IFERROR((HistoricalFS!G18-HistoricalFS!G26)/HistoricalFS!G23,0)</f>
        <v>9.2746765778000171</v>
      </c>
      <c r="H25" s="45">
        <f>IFERROR((HistoricalFS!H18-HistoricalFS!H26)/HistoricalFS!H23,0)</f>
        <v>15.248800052600425</v>
      </c>
      <c r="I25" s="45">
        <f>IFERROR((HistoricalFS!I18-HistoricalFS!I26)/HistoricalFS!I23,0)</f>
        <v>17.536256684491981</v>
      </c>
      <c r="J25" s="43"/>
      <c r="K25" s="44">
        <f>IFERROR(AVERAGE(C25:I25),0)</f>
        <v>7.9315940825963978</v>
      </c>
      <c r="L25" s="42">
        <f t="shared" si="0"/>
        <v>8.1643369393460539</v>
      </c>
    </row>
    <row r="26" spans="2:12" x14ac:dyDescent="0.3">
      <c r="L26" s="77"/>
    </row>
    <row r="27" spans="2:12" x14ac:dyDescent="0.3">
      <c r="B27" s="40" t="s">
        <v>155</v>
      </c>
      <c r="C27" s="46">
        <f>IFERROR(HistoricalFS!C6/HistoricalFS!C65,0)</f>
        <v>14.231175128351396</v>
      </c>
      <c r="D27" s="46">
        <f>IFERROR(HistoricalFS!D6/HistoricalFS!D65,0)</f>
        <v>16.730466072652501</v>
      </c>
      <c r="E27" s="46">
        <f>IFERROR(HistoricalFS!E6/HistoricalFS!E65,0)</f>
        <v>30.850302637267617</v>
      </c>
      <c r="F27" s="46">
        <f>IFERROR(HistoricalFS!F6/HistoricalFS!F65,0)</f>
        <v>21.595182495761492</v>
      </c>
      <c r="G27" s="46">
        <f>IFERROR(HistoricalFS!G6/HistoricalFS!G65,0)</f>
        <v>11.733299704547093</v>
      </c>
      <c r="H27" s="46">
        <f>IFERROR(HistoricalFS!H6/HistoricalFS!H65,0)</f>
        <v>12.191817821180482</v>
      </c>
      <c r="I27" s="46">
        <f>IFERROR(HistoricalFS!I6/HistoricalFS!I65,0)</f>
        <v>10.647416864608076</v>
      </c>
      <c r="J27" s="40"/>
      <c r="K27" s="46">
        <f>IFERROR(AVERAGE(C27:I27),0)</f>
        <v>16.854237246338378</v>
      </c>
      <c r="L27" s="47">
        <f>IFERROR(MEDIAN(C27:I27),0)</f>
        <v>14.231175128351396</v>
      </c>
    </row>
    <row r="28" spans="2:12" x14ac:dyDescent="0.3">
      <c r="B28" t="s">
        <v>156</v>
      </c>
      <c r="C28" s="47">
        <f>IFERROR(HistoricalFS!C6/HistoricalFS!C56,0)</f>
        <v>4.1305103688066556</v>
      </c>
      <c r="D28" s="47">
        <f>IFERROR(HistoricalFS!D6/HistoricalFS!D56,0)</f>
        <v>3.2784567859781077</v>
      </c>
      <c r="E28" s="47">
        <f>IFERROR(HistoricalFS!E6/HistoricalFS!E56,0)</f>
        <v>2.0948924395775381</v>
      </c>
      <c r="F28" s="47">
        <f>IFERROR(HistoricalFS!F6/HistoricalFS!F56,0)</f>
        <v>1.2866225650232419</v>
      </c>
      <c r="G28" s="47">
        <f>IFERROR(HistoricalFS!G6/HistoricalFS!G56,0)</f>
        <v>1.7176871465946495</v>
      </c>
      <c r="H28" s="47">
        <f>IFERROR(HistoricalFS!H6/HistoricalFS!H56,0)</f>
        <v>1.5999933538993225</v>
      </c>
      <c r="I28" s="47">
        <f>IFERROR(HistoricalFS!I6/HistoricalFS!I56,0)</f>
        <v>2.1288325053086901</v>
      </c>
      <c r="K28" s="47">
        <f>IFERROR(AVERAGE(C28:I28),0)</f>
        <v>2.3195707378840291</v>
      </c>
      <c r="L28" s="47">
        <f t="shared" ref="L28:L31" si="3">IFERROR(MEDIAN(C28:I28),0)</f>
        <v>2.0948924395775381</v>
      </c>
    </row>
    <row r="29" spans="2:12" x14ac:dyDescent="0.3">
      <c r="B29" t="s">
        <v>157</v>
      </c>
      <c r="C29" s="47">
        <f>HistoricalFS!C6/HistoricalFS!C66</f>
        <v>8.2093702439225034</v>
      </c>
      <c r="D29" s="47">
        <f>HistoricalFS!D6/HistoricalFS!D66</f>
        <v>5.3064673913043476</v>
      </c>
      <c r="E29" s="47">
        <f>HistoricalFS!E6/HistoricalFS!E66</f>
        <v>5.303658695207834</v>
      </c>
      <c r="F29" s="47">
        <f>HistoricalFS!F6/HistoricalFS!F66</f>
        <v>2.492135096922333</v>
      </c>
      <c r="G29" s="47">
        <f>HistoricalFS!G6/HistoricalFS!G66</f>
        <v>4.4082296473063547</v>
      </c>
      <c r="H29" s="47">
        <f>HistoricalFS!H6/HistoricalFS!H66</f>
        <v>5.3654939805580009</v>
      </c>
      <c r="I29" s="47">
        <f>HistoricalFS!I6/HistoricalFS!I66</f>
        <v>4.5318308502571876</v>
      </c>
      <c r="K29" s="47">
        <f>IFERROR(AVERAGE(C29:I29),0)</f>
        <v>5.0881694150683652</v>
      </c>
      <c r="L29" s="47">
        <f t="shared" si="3"/>
        <v>5.303658695207834</v>
      </c>
    </row>
    <row r="30" spans="2:12" x14ac:dyDescent="0.3">
      <c r="B30" t="s">
        <v>158</v>
      </c>
      <c r="C30" s="47">
        <f>IFERROR(HistoricalFS!C6/HistoricalFS!C59,0)</f>
        <v>13.15176276771005</v>
      </c>
      <c r="D30" s="47">
        <f>IFERROR(HistoricalFS!D6/HistoricalFS!D59,0)</f>
        <v>6.8588388184468414</v>
      </c>
      <c r="E30" s="47">
        <f>IFERROR(HistoricalFS!E6/HistoricalFS!E59,0)</f>
        <v>4.5696103230764304</v>
      </c>
      <c r="F30" s="47">
        <f>IFERROR(HistoricalFS!F6/HistoricalFS!F59,0)</f>
        <v>6.1078921892388287</v>
      </c>
      <c r="G30" s="47">
        <f>IFERROR(HistoricalFS!G6/HistoricalFS!G59,0)</f>
        <v>7.8612339207504229</v>
      </c>
      <c r="H30" s="47">
        <f>IFERROR(HistoricalFS!H6/HistoricalFS!H59,0)</f>
        <v>3.5657068095138178</v>
      </c>
      <c r="I30" s="47">
        <f>IFERROR(HistoricalFS!I6/HistoricalFS!I59,0)</f>
        <v>3.621002460234398</v>
      </c>
      <c r="K30" s="47">
        <f>IFERROR(AVERAGE(C30:I30),0)</f>
        <v>6.5337210412815425</v>
      </c>
      <c r="L30" s="47">
        <f t="shared" si="3"/>
        <v>6.1078921892388287</v>
      </c>
    </row>
    <row r="31" spans="2:12" x14ac:dyDescent="0.3">
      <c r="B31" s="43" t="s">
        <v>159</v>
      </c>
      <c r="C31" s="45">
        <f>IFERROR(HistoricalFS!C6/SUM(HistoricalFS!C53:C54),0)</f>
        <v>6.6967988725588894</v>
      </c>
      <c r="D31" s="45">
        <f>IFERROR(HistoricalFS!D6/SUM(HistoricalFS!D53:D54),0)</f>
        <v>5.6603959535058985</v>
      </c>
      <c r="E31" s="45">
        <f>IFERROR(HistoricalFS!E6/SUM(HistoricalFS!E53:E54),0)</f>
        <v>6.6743131065123356</v>
      </c>
      <c r="F31" s="45">
        <f>IFERROR(HistoricalFS!F6/SUM(HistoricalFS!F53:F54),0)</f>
        <v>3.6721242813083048</v>
      </c>
      <c r="G31" s="45">
        <f>IFERROR(HistoricalFS!G6/SUM(HistoricalFS!G53:G54),0)</f>
        <v>2.7881946567966711</v>
      </c>
      <c r="H31" s="45">
        <f>IFERROR(HistoricalFS!H6/SUM(HistoricalFS!H53:H54),0)</f>
        <v>1.5238100261625454</v>
      </c>
      <c r="I31" s="45">
        <f>IFERROR(HistoricalFS!I6/SUM(HistoricalFS!I53:I54),0)</f>
        <v>1.8380650452230121</v>
      </c>
      <c r="J31" s="43"/>
      <c r="K31" s="45">
        <f>IFERROR(AVERAGE(C31:I31),0)</f>
        <v>4.121957420295379</v>
      </c>
      <c r="L31" s="45">
        <f t="shared" si="3"/>
        <v>3.6721242813083048</v>
      </c>
    </row>
    <row r="32" spans="2:12" x14ac:dyDescent="0.3">
      <c r="L32" s="42"/>
    </row>
    <row r="33" spans="2:12" x14ac:dyDescent="0.3">
      <c r="B33" s="39" t="s">
        <v>170</v>
      </c>
      <c r="L33" s="44"/>
    </row>
    <row r="34" spans="2:12" x14ac:dyDescent="0.3">
      <c r="B34" s="40" t="s">
        <v>160</v>
      </c>
      <c r="C34" s="48">
        <f t="shared" ref="C34:I34" si="4">IFERROR(365/C27,0)</f>
        <v>25.647917105091746</v>
      </c>
      <c r="D34" s="48">
        <f t="shared" si="4"/>
        <v>21.816487264310368</v>
      </c>
      <c r="E34" s="48">
        <f t="shared" si="4"/>
        <v>11.831326398693887</v>
      </c>
      <c r="F34" s="48">
        <f t="shared" si="4"/>
        <v>16.901917826887498</v>
      </c>
      <c r="G34" s="48">
        <f t="shared" si="4"/>
        <v>31.108043703899323</v>
      </c>
      <c r="H34" s="48">
        <f t="shared" si="4"/>
        <v>29.938111391879261</v>
      </c>
      <c r="I34" s="48">
        <f t="shared" si="4"/>
        <v>34.280615161528701</v>
      </c>
      <c r="J34" s="40"/>
      <c r="K34" s="48">
        <f>IFERROR(AVERAGE(C34:I34),0)</f>
        <v>24.503488407470115</v>
      </c>
      <c r="L34" s="49">
        <f>IFERROR(MEDIAN(C34:I34),0)</f>
        <v>25.647917105091746</v>
      </c>
    </row>
    <row r="35" spans="2:12" x14ac:dyDescent="0.3">
      <c r="B35" t="s">
        <v>161</v>
      </c>
      <c r="C35" s="49">
        <f t="shared" ref="C35:I35" si="5">IFERROR(365/C28,0)</f>
        <v>88.366803956347908</v>
      </c>
      <c r="D35" s="49">
        <f t="shared" si="5"/>
        <v>111.33286903798687</v>
      </c>
      <c r="E35" s="49">
        <f t="shared" si="5"/>
        <v>174.23328907216205</v>
      </c>
      <c r="F35" s="49">
        <f t="shared" si="5"/>
        <v>283.68848015144715</v>
      </c>
      <c r="G35" s="49">
        <f t="shared" si="5"/>
        <v>212.49504062693845</v>
      </c>
      <c r="H35" s="49">
        <f t="shared" si="5"/>
        <v>228.12594759250928</v>
      </c>
      <c r="I35" s="49">
        <f t="shared" si="5"/>
        <v>171.45548045221781</v>
      </c>
      <c r="K35" s="49">
        <f>IFERROR(AVERAGE(C35:I35),0)</f>
        <v>181.3854158413728</v>
      </c>
      <c r="L35" s="49">
        <f t="shared" ref="L35:L37" si="6">IFERROR(MEDIAN(C35:I35),0)</f>
        <v>174.23328907216205</v>
      </c>
    </row>
    <row r="36" spans="2:12" x14ac:dyDescent="0.3">
      <c r="B36" t="s">
        <v>162</v>
      </c>
      <c r="C36" s="49">
        <f t="shared" ref="C36:I36" si="7">IFERROR(365/C29,0)</f>
        <v>44.46138852979788</v>
      </c>
      <c r="D36" s="49">
        <f t="shared" si="7"/>
        <v>68.783990003994305</v>
      </c>
      <c r="E36" s="49">
        <f t="shared" si="7"/>
        <v>68.820416428719071</v>
      </c>
      <c r="F36" s="49">
        <f t="shared" si="7"/>
        <v>146.46075987243125</v>
      </c>
      <c r="G36" s="49">
        <f t="shared" si="7"/>
        <v>82.799679055521295</v>
      </c>
      <c r="H36" s="49">
        <f t="shared" si="7"/>
        <v>68.027287202741533</v>
      </c>
      <c r="I36" s="49">
        <f t="shared" si="7"/>
        <v>80.541399725739041</v>
      </c>
      <c r="K36" s="49">
        <f>IFERROR(AVERAGE(C36:I36),0)</f>
        <v>79.984988688420614</v>
      </c>
      <c r="L36" s="49">
        <f t="shared" si="6"/>
        <v>68.820416428719071</v>
      </c>
    </row>
    <row r="37" spans="2:12" x14ac:dyDescent="0.3">
      <c r="B37" s="43" t="s">
        <v>163</v>
      </c>
      <c r="C37" s="50">
        <f t="shared" ref="C37:I37" si="8">SUM(C34,C36-C35)</f>
        <v>-18.257498321458282</v>
      </c>
      <c r="D37" s="50">
        <f t="shared" si="8"/>
        <v>-20.732391769682195</v>
      </c>
      <c r="E37" s="50">
        <f t="shared" si="8"/>
        <v>-93.581546244749092</v>
      </c>
      <c r="F37" s="50">
        <f t="shared" si="8"/>
        <v>-120.3258024521284</v>
      </c>
      <c r="G37" s="50">
        <f t="shared" si="8"/>
        <v>-98.587317867517825</v>
      </c>
      <c r="H37" s="50">
        <f t="shared" si="8"/>
        <v>-130.1605489978885</v>
      </c>
      <c r="I37" s="50">
        <f t="shared" si="8"/>
        <v>-56.633465564950072</v>
      </c>
      <c r="J37" s="43"/>
      <c r="K37" s="50">
        <f>IFERROR(AVERAGE(C37:I37),0)</f>
        <v>-76.896938745482061</v>
      </c>
      <c r="L37" s="50">
        <f t="shared" si="6"/>
        <v>-93.581546244749092</v>
      </c>
    </row>
    <row r="38" spans="2:12" x14ac:dyDescent="0.3">
      <c r="L38" s="42"/>
    </row>
    <row r="39" spans="2:12" x14ac:dyDescent="0.3">
      <c r="B39" s="40" t="s">
        <v>164</v>
      </c>
      <c r="C39" s="41">
        <f>IFERROR(HistoricalFS!C112/HistoricalFS!C6,0)</f>
        <v>4.1708003888204108E-2</v>
      </c>
      <c r="D39" s="41">
        <f>IFERROR(HistoricalFS!D112/HistoricalFS!D6,0)</f>
        <v>3.4453445856676125E-2</v>
      </c>
      <c r="E39" s="41">
        <f>IFERROR(HistoricalFS!E112/HistoricalFS!E6,0)</f>
        <v>0.24453187680212454</v>
      </c>
      <c r="F39" s="41">
        <f>IFERROR(HistoricalFS!F112/HistoricalFS!F6,0)</f>
        <v>0.23111539697846353</v>
      </c>
      <c r="G39" s="41">
        <f>IFERROR(HistoricalFS!G112/HistoricalFS!G6,0)</f>
        <v>0.20223889043404714</v>
      </c>
      <c r="H39" s="41">
        <f>IFERROR(HistoricalFS!H112/HistoricalFS!H6,0)</f>
        <v>0.21864446675205096</v>
      </c>
      <c r="I39" s="41">
        <f>IFERROR(HistoricalFS!I112/HistoricalFS!I6,0)</f>
        <v>6.1309270118405521E-2</v>
      </c>
      <c r="J39" s="40"/>
      <c r="K39" s="41">
        <f>IFERROR(AVERAGE(C39:I39),0)</f>
        <v>0.14771447868999599</v>
      </c>
      <c r="L39" s="41">
        <f>IFERROR(MEDIAN(C39:I39),0)</f>
        <v>0.20223889043404714</v>
      </c>
    </row>
    <row r="40" spans="2:12" x14ac:dyDescent="0.3">
      <c r="B40" t="s">
        <v>165</v>
      </c>
      <c r="C40" s="42">
        <f>IFERROR(HistoricalFS!C112/HistoricalFS!C70,0)</f>
        <v>8.8716467541326061E-2</v>
      </c>
      <c r="D40" s="42">
        <f>IFERROR(HistoricalFS!D112/HistoricalFS!D70,0)</f>
        <v>5.2540744847836447E-2</v>
      </c>
      <c r="E40" s="42">
        <f>IFERROR(HistoricalFS!E112/HistoricalFS!E70,0)</f>
        <v>0.32409742053818114</v>
      </c>
      <c r="F40" s="42">
        <f>IFERROR(HistoricalFS!F112/HistoricalFS!F70,0)</f>
        <v>0.21068103407533439</v>
      </c>
      <c r="G40" s="42">
        <f>IFERROR(HistoricalFS!G112/HistoricalFS!G70,0)</f>
        <v>0.20440840534059787</v>
      </c>
      <c r="H40" s="42">
        <f>IFERROR(HistoricalFS!H112/HistoricalFS!H70,0)</f>
        <v>0.1602660910056003</v>
      </c>
      <c r="I40" s="42">
        <f>IFERROR(HistoricalFS!I112/HistoricalFS!I70,0)</f>
        <v>5.4023908721692611E-2</v>
      </c>
      <c r="K40" s="42">
        <f>IFERROR(AVERAGE(C40:I40),0)</f>
        <v>0.15639058172436698</v>
      </c>
      <c r="L40" s="42">
        <f t="shared" ref="L40:L41" si="9">IFERROR(MEDIAN(C40:I40),0)</f>
        <v>0.1602660910056003</v>
      </c>
    </row>
    <row r="41" spans="2:12" x14ac:dyDescent="0.3">
      <c r="B41" s="43" t="s">
        <v>166</v>
      </c>
      <c r="C41" s="44">
        <f>IFERROR(HistoricalFS!C112/HistoricalFS!C55,0)</f>
        <v>0.52995479722416761</v>
      </c>
      <c r="D41" s="44">
        <f>IFERROR(HistoricalFS!D112/HistoricalFS!D55,0)</f>
        <v>0.19794057075610474</v>
      </c>
      <c r="E41" s="44">
        <f>IFERROR(HistoricalFS!E112/HistoricalFS!E55,0)</f>
        <v>1.9205855645139098</v>
      </c>
      <c r="F41" s="44">
        <f>IFERROR(HistoricalFS!F112/HistoricalFS!F55,0)</f>
        <v>4.8716083304711653</v>
      </c>
      <c r="G41" s="44">
        <f>IFERROR(HistoricalFS!G112/HistoricalFS!G55,0)</f>
        <v>4.1653083720341897</v>
      </c>
      <c r="H41" s="44">
        <f>IFERROR(HistoricalFS!H112/HistoricalFS!H55,0)</f>
        <v>2.6340586660439205</v>
      </c>
      <c r="I41" s="44">
        <f>IFERROR(HistoricalFS!I112/HistoricalFS!I55,0)</f>
        <v>0.50642466273633358</v>
      </c>
      <c r="J41" s="43"/>
      <c r="K41" s="44">
        <f>IFERROR(AVERAGE(C41:I41),0)</f>
        <v>2.1179829948256845</v>
      </c>
      <c r="L41" s="42">
        <f t="shared" si="9"/>
        <v>1.9205855645139098</v>
      </c>
    </row>
  </sheetData>
  <mergeCells count="1">
    <mergeCell ref="B2:L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B05A4FD2-74AD-4B85-88C5-0B432027DA7F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'Ratio Analysis'!C5:I5</xm:f>
              <xm:sqref>J5</xm:sqref>
            </x14:sparkline>
            <x14:sparkline>
              <xm:f>'Ratio Analysis'!C6:I6</xm:f>
              <xm:sqref>J6</xm:sqref>
            </x14:sparkline>
            <x14:sparkline>
              <xm:f>'Ratio Analysis'!C7:I7</xm:f>
              <xm:sqref>J7</xm:sqref>
            </x14:sparkline>
            <x14:sparkline>
              <xm:f>'Ratio Analysis'!C8:I8</xm:f>
              <xm:sqref>J8</xm:sqref>
            </x14:sparkline>
            <x14:sparkline>
              <xm:f>'Ratio Analysis'!C9:I9</xm:f>
              <xm:sqref>J9</xm:sqref>
            </x14:sparkline>
          </x14:sparklines>
        </x14:sparklineGroup>
        <x14:sparklineGroup displayEmptyCellsAs="gap" markers="1" xr2:uid="{4EB5C5F3-EC49-4FAA-B11D-CAD8C47A3B7E}">
          <x14:colorSeries rgb="FF376092"/>
          <x14:colorNegative rgb="FFD00000"/>
          <x14:colorAxis rgb="FF000000"/>
          <x14:colorMarkers rgb="FFFF0066"/>
          <x14:colorFirst rgb="FFD00000"/>
          <x14:colorLast rgb="FFD00000"/>
          <x14:colorHigh rgb="FFD00000"/>
          <x14:colorLow rgb="FFD00000"/>
          <x14:sparklines>
            <x14:sparkline>
              <xm:f>'Ratio Analysis'!C11:I11</xm:f>
              <xm:sqref>J11</xm:sqref>
            </x14:sparkline>
            <x14:sparkline>
              <xm:f>'Ratio Analysis'!C12:I12</xm:f>
              <xm:sqref>J12</xm:sqref>
            </x14:sparkline>
            <x14:sparkline>
              <xm:f>'Ratio Analysis'!C13:I13</xm:f>
              <xm:sqref>J13</xm:sqref>
            </x14:sparkline>
            <x14:sparkline>
              <xm:f>'Ratio Analysis'!C14:I14</xm:f>
              <xm:sqref>J14</xm:sqref>
            </x14:sparkline>
            <x14:sparkline>
              <xm:f>'Ratio Analysis'!C15:I15</xm:f>
              <xm:sqref>J15</xm:sqref>
            </x14:sparkline>
            <x14:sparkline>
              <xm:f>'Ratio Analysis'!C16:I16</xm:f>
              <xm:sqref>J16</xm:sqref>
            </x14:sparkline>
            <x14:sparkline>
              <xm:f>'Ratio Analysis'!C17:I17</xm:f>
              <xm:sqref>J17</xm:sqref>
            </x14:sparkline>
            <x14:sparkline>
              <xm:f>'Ratio Analysis'!C18:I18</xm:f>
              <xm:sqref>J18</xm:sqref>
            </x14:sparkline>
            <x14:sparkline>
              <xm:f>'Ratio Analysis'!C19:I19</xm:f>
              <xm:sqref>J19</xm:sqref>
            </x14:sparkline>
            <x14:sparkline>
              <xm:f>'Ratio Analysis'!C20:I20</xm:f>
              <xm:sqref>J20</xm:sqref>
            </x14:sparkline>
            <x14:sparkline>
              <xm:f>'Ratio Analysis'!C21:I21</xm:f>
              <xm:sqref>J21</xm:sqref>
            </x14:sparkline>
            <x14:sparkline>
              <xm:f>'Ratio Analysis'!C22:I22</xm:f>
              <xm:sqref>J22</xm:sqref>
            </x14:sparkline>
            <x14:sparkline>
              <xm:f>'Ratio Analysis'!C23:I23</xm:f>
              <xm:sqref>J23</xm:sqref>
            </x14:sparkline>
            <x14:sparkline>
              <xm:f>'Ratio Analysis'!C24:I24</xm:f>
              <xm:sqref>J24</xm:sqref>
            </x14:sparkline>
            <x14:sparkline>
              <xm:f>'Ratio Analysis'!C25:I25</xm:f>
              <xm:sqref>J25</xm:sqref>
            </x14:sparkline>
            <x14:sparkline>
              <xm:f>'Ratio Analysis'!C26:I26</xm:f>
              <xm:sqref>J26</xm:sqref>
            </x14:sparkline>
            <x14:sparkline>
              <xm:f>'Ratio Analysis'!C27:I27</xm:f>
              <xm:sqref>J27</xm:sqref>
            </x14:sparkline>
            <x14:sparkline>
              <xm:f>'Ratio Analysis'!C28:I28</xm:f>
              <xm:sqref>J28</xm:sqref>
            </x14:sparkline>
            <x14:sparkline>
              <xm:f>'Ratio Analysis'!C29:I29</xm:f>
              <xm:sqref>J29</xm:sqref>
            </x14:sparkline>
            <x14:sparkline>
              <xm:f>'Ratio Analysis'!C30:I30</xm:f>
              <xm:sqref>J30</xm:sqref>
            </x14:sparkline>
            <x14:sparkline>
              <xm:f>'Ratio Analysis'!C31:I31</xm:f>
              <xm:sqref>J31</xm:sqref>
            </x14:sparkline>
            <x14:sparkline>
              <xm:f>'Ratio Analysis'!C32:I32</xm:f>
              <xm:sqref>J32</xm:sqref>
            </x14:sparkline>
            <x14:sparkline>
              <xm:f>'Ratio Analysis'!C33:I33</xm:f>
              <xm:sqref>J33</xm:sqref>
            </x14:sparkline>
            <x14:sparkline>
              <xm:f>'Ratio Analysis'!C34:I34</xm:f>
              <xm:sqref>J34</xm:sqref>
            </x14:sparkline>
            <x14:sparkline>
              <xm:f>'Ratio Analysis'!C35:I35</xm:f>
              <xm:sqref>J35</xm:sqref>
            </x14:sparkline>
            <x14:sparkline>
              <xm:f>'Ratio Analysis'!C36:I36</xm:f>
              <xm:sqref>J36</xm:sqref>
            </x14:sparkline>
            <x14:sparkline>
              <xm:f>'Ratio Analysis'!C37:I37</xm:f>
              <xm:sqref>J37</xm:sqref>
            </x14:sparkline>
            <x14:sparkline>
              <xm:f>'Ratio Analysis'!C38:I38</xm:f>
              <xm:sqref>J38</xm:sqref>
            </x14:sparkline>
            <x14:sparkline>
              <xm:f>'Ratio Analysis'!C39:I39</xm:f>
              <xm:sqref>J39</xm:sqref>
            </x14:sparkline>
            <x14:sparkline>
              <xm:f>'Ratio Analysis'!C40:I40</xm:f>
              <xm:sqref>J40</xm:sqref>
            </x14:sparkline>
            <x14:sparkline>
              <xm:f>'Ratio Analysis'!C41:I41</xm:f>
              <xm:sqref>J41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4F667-BCEE-4860-8E62-7C67BDB201BD}">
  <dimension ref="B2:L33"/>
  <sheetViews>
    <sheetView topLeftCell="A11" workbookViewId="0">
      <selection activeCell="C23" sqref="C23:C29"/>
    </sheetView>
  </sheetViews>
  <sheetFormatPr defaultRowHeight="14.4" x14ac:dyDescent="0.3"/>
  <cols>
    <col min="2" max="2" width="22.33203125" customWidth="1"/>
    <col min="3" max="10" width="7.109375" bestFit="1" customWidth="1"/>
  </cols>
  <sheetData>
    <row r="2" spans="2:12" x14ac:dyDescent="0.3">
      <c r="C2" s="28">
        <v>43891</v>
      </c>
      <c r="D2" s="28">
        <v>44256</v>
      </c>
      <c r="E2" s="28">
        <v>44621</v>
      </c>
      <c r="F2" s="28">
        <v>44986</v>
      </c>
      <c r="G2" s="28">
        <v>45352</v>
      </c>
      <c r="H2" s="28">
        <v>45717</v>
      </c>
      <c r="I2" s="28">
        <v>46082</v>
      </c>
      <c r="J2" s="28"/>
      <c r="K2" s="28"/>
      <c r="L2" s="28"/>
    </row>
    <row r="3" spans="2:12" x14ac:dyDescent="0.3">
      <c r="B3" t="s">
        <v>128</v>
      </c>
      <c r="C3" s="29">
        <v>83</v>
      </c>
      <c r="D3" s="29">
        <v>67</v>
      </c>
      <c r="E3" s="29">
        <v>698</v>
      </c>
      <c r="F3" s="29">
        <v>1560</v>
      </c>
      <c r="G3" s="29">
        <v>2305</v>
      </c>
      <c r="H3" s="29">
        <v>3158</v>
      </c>
      <c r="I3" s="29">
        <v>1627</v>
      </c>
      <c r="J3" s="29"/>
      <c r="K3" s="29"/>
      <c r="L3" s="29"/>
    </row>
    <row r="4" spans="2:12" x14ac:dyDescent="0.3">
      <c r="B4" t="s">
        <v>106</v>
      </c>
      <c r="C4" s="29">
        <v>118</v>
      </c>
      <c r="D4" s="29">
        <v>107</v>
      </c>
      <c r="E4" s="29">
        <v>191</v>
      </c>
      <c r="F4" s="29">
        <v>941</v>
      </c>
      <c r="G4" s="29">
        <v>2049</v>
      </c>
      <c r="H4" s="29">
        <v>2744</v>
      </c>
      <c r="I4" s="29">
        <v>5916</v>
      </c>
      <c r="J4" s="29"/>
      <c r="K4" s="29"/>
      <c r="L4" s="29"/>
    </row>
    <row r="5" spans="2:12" x14ac:dyDescent="0.3">
      <c r="B5" t="s">
        <v>63</v>
      </c>
      <c r="C5">
        <v>86</v>
      </c>
      <c r="D5">
        <v>22</v>
      </c>
      <c r="E5">
        <v>21</v>
      </c>
      <c r="F5">
        <v>-215</v>
      </c>
      <c r="G5">
        <v>-670</v>
      </c>
      <c r="H5" s="29">
        <v>-223</v>
      </c>
      <c r="I5" s="29">
        <v>-1425</v>
      </c>
      <c r="K5" s="29"/>
      <c r="L5" s="29"/>
    </row>
    <row r="6" spans="2:12" x14ac:dyDescent="0.3">
      <c r="B6" t="s">
        <v>43</v>
      </c>
      <c r="C6">
        <v>-143</v>
      </c>
      <c r="D6">
        <v>-99</v>
      </c>
      <c r="E6">
        <v>-170</v>
      </c>
      <c r="F6" s="29">
        <v>-2171</v>
      </c>
      <c r="G6" s="29">
        <v>123</v>
      </c>
      <c r="H6">
        <v>-107</v>
      </c>
      <c r="I6" s="29">
        <v>-3164</v>
      </c>
    </row>
    <row r="7" spans="2:12" x14ac:dyDescent="0.3">
      <c r="B7" t="s">
        <v>107</v>
      </c>
      <c r="C7">
        <v>-12</v>
      </c>
      <c r="D7">
        <v>78</v>
      </c>
      <c r="E7">
        <v>178</v>
      </c>
      <c r="F7" s="29">
        <v>1073</v>
      </c>
      <c r="G7">
        <v>-6</v>
      </c>
      <c r="H7">
        <v>557</v>
      </c>
      <c r="I7" s="29">
        <v>1014</v>
      </c>
      <c r="L7" s="29"/>
    </row>
    <row r="8" spans="2:12" x14ac:dyDescent="0.3">
      <c r="B8" t="s">
        <v>204</v>
      </c>
      <c r="C8">
        <v>0</v>
      </c>
      <c r="D8">
        <v>-3</v>
      </c>
      <c r="E8">
        <v>0</v>
      </c>
      <c r="F8">
        <v>0</v>
      </c>
      <c r="G8">
        <v>0</v>
      </c>
      <c r="H8">
        <v>0</v>
      </c>
      <c r="I8">
        <v>-41</v>
      </c>
    </row>
    <row r="9" spans="2:12" x14ac:dyDescent="0.3">
      <c r="B9" t="s">
        <v>108</v>
      </c>
      <c r="C9">
        <v>46</v>
      </c>
      <c r="D9">
        <v>-17</v>
      </c>
      <c r="E9">
        <v>504</v>
      </c>
      <c r="F9" s="29">
        <v>2032</v>
      </c>
      <c r="G9" s="29">
        <v>1144</v>
      </c>
      <c r="H9" s="29">
        <v>930</v>
      </c>
      <c r="I9" s="29">
        <v>476</v>
      </c>
    </row>
    <row r="10" spans="2:12" x14ac:dyDescent="0.3">
      <c r="B10" t="s">
        <v>109</v>
      </c>
      <c r="C10">
        <v>-23</v>
      </c>
      <c r="D10">
        <v>-18</v>
      </c>
      <c r="E10" s="29">
        <v>533</v>
      </c>
      <c r="F10">
        <v>720</v>
      </c>
      <c r="G10" s="29">
        <v>592</v>
      </c>
      <c r="H10" s="29">
        <v>1157</v>
      </c>
      <c r="I10" s="29">
        <v>-3140</v>
      </c>
      <c r="J10" s="29"/>
      <c r="L10" s="29"/>
    </row>
    <row r="11" spans="2:12" x14ac:dyDescent="0.3">
      <c r="B11" t="s">
        <v>110</v>
      </c>
      <c r="C11" s="29">
        <v>-11</v>
      </c>
      <c r="D11">
        <v>-22</v>
      </c>
      <c r="E11">
        <v>-26</v>
      </c>
      <c r="F11" s="29">
        <v>-100</v>
      </c>
      <c r="G11" s="29">
        <v>-335</v>
      </c>
      <c r="H11">
        <v>-743</v>
      </c>
      <c r="I11" s="29">
        <v>-1149</v>
      </c>
      <c r="J11" s="29"/>
      <c r="L11" s="29"/>
    </row>
    <row r="12" spans="2:12" x14ac:dyDescent="0.3">
      <c r="B12" t="s">
        <v>129</v>
      </c>
      <c r="C12" s="29">
        <v>-22</v>
      </c>
      <c r="D12" s="29">
        <v>-250</v>
      </c>
      <c r="E12">
        <v>-673</v>
      </c>
      <c r="F12" s="29">
        <v>-2088</v>
      </c>
      <c r="G12" s="29">
        <v>-3346</v>
      </c>
      <c r="H12" s="29">
        <v>-6806</v>
      </c>
      <c r="I12" s="29">
        <v>-3953</v>
      </c>
      <c r="K12" s="29"/>
      <c r="L12" s="29"/>
    </row>
    <row r="13" spans="2:12" x14ac:dyDescent="0.3">
      <c r="B13" t="s">
        <v>111</v>
      </c>
      <c r="C13" s="29">
        <v>-16</v>
      </c>
      <c r="D13" s="29">
        <v>-70</v>
      </c>
      <c r="E13" s="29">
        <v>-496</v>
      </c>
      <c r="F13" s="29">
        <v>-865</v>
      </c>
      <c r="G13" s="29">
        <v>-1342</v>
      </c>
      <c r="H13" s="29">
        <v>-3274</v>
      </c>
      <c r="I13" s="29">
        <v>-4882</v>
      </c>
      <c r="J13" s="29"/>
      <c r="K13" s="29"/>
      <c r="L13" s="29"/>
    </row>
    <row r="14" spans="2:12" x14ac:dyDescent="0.3">
      <c r="B14" t="s">
        <v>112</v>
      </c>
      <c r="C14">
        <v>0</v>
      </c>
      <c r="D14">
        <v>0</v>
      </c>
      <c r="E14">
        <v>1</v>
      </c>
      <c r="F14">
        <v>4</v>
      </c>
      <c r="G14">
        <v>5</v>
      </c>
      <c r="H14">
        <v>1</v>
      </c>
      <c r="I14">
        <v>46</v>
      </c>
    </row>
    <row r="15" spans="2:12" x14ac:dyDescent="0.3">
      <c r="B15" t="s">
        <v>205</v>
      </c>
      <c r="C15" s="29">
        <v>-35</v>
      </c>
      <c r="D15" s="29">
        <v>-33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/>
      <c r="K15" s="29"/>
      <c r="L15" s="29"/>
    </row>
    <row r="16" spans="2:12" x14ac:dyDescent="0.3">
      <c r="B16" t="s">
        <v>113</v>
      </c>
      <c r="C16" s="29">
        <v>0</v>
      </c>
      <c r="D16" s="29">
        <v>-50</v>
      </c>
      <c r="E16" s="29">
        <v>-161</v>
      </c>
      <c r="F16" s="29">
        <v>0</v>
      </c>
      <c r="G16" s="29">
        <v>-1913</v>
      </c>
      <c r="H16" s="29">
        <v>-5128</v>
      </c>
      <c r="I16" s="29">
        <v>-5533</v>
      </c>
      <c r="J16" s="29"/>
      <c r="K16" s="29"/>
      <c r="L16" s="29"/>
    </row>
    <row r="17" spans="2:12" x14ac:dyDescent="0.3">
      <c r="B17" t="s">
        <v>114</v>
      </c>
      <c r="C17">
        <v>0</v>
      </c>
      <c r="D17">
        <v>21</v>
      </c>
      <c r="E17">
        <v>31</v>
      </c>
      <c r="F17">
        <v>109</v>
      </c>
      <c r="G17" s="29">
        <v>1906</v>
      </c>
      <c r="H17" s="29">
        <v>5151</v>
      </c>
      <c r="I17" s="29">
        <v>4688</v>
      </c>
    </row>
    <row r="18" spans="2:12" x14ac:dyDescent="0.3">
      <c r="B18" t="s">
        <v>115</v>
      </c>
      <c r="C18">
        <v>13</v>
      </c>
      <c r="D18">
        <v>17</v>
      </c>
      <c r="E18">
        <v>9</v>
      </c>
      <c r="F18">
        <v>30</v>
      </c>
      <c r="G18">
        <v>125</v>
      </c>
      <c r="H18">
        <v>298</v>
      </c>
      <c r="I18">
        <v>543</v>
      </c>
    </row>
    <row r="19" spans="2:12" x14ac:dyDescent="0.3">
      <c r="B19" t="s">
        <v>116</v>
      </c>
      <c r="C19">
        <v>0</v>
      </c>
      <c r="D19">
        <v>0</v>
      </c>
      <c r="E19">
        <v>42</v>
      </c>
      <c r="F19">
        <v>0</v>
      </c>
      <c r="G19">
        <v>0</v>
      </c>
      <c r="H19">
        <v>0</v>
      </c>
      <c r="I19">
        <v>0</v>
      </c>
    </row>
    <row r="20" spans="2:12" x14ac:dyDescent="0.3">
      <c r="B20" t="s">
        <v>117</v>
      </c>
      <c r="C20">
        <v>-20</v>
      </c>
      <c r="D20">
        <v>-2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2:12" x14ac:dyDescent="0.3">
      <c r="B21" t="s">
        <v>118</v>
      </c>
      <c r="C21">
        <v>37</v>
      </c>
      <c r="D21">
        <v>-133</v>
      </c>
      <c r="E21">
        <v>-98</v>
      </c>
      <c r="F21" s="29">
        <v>-1365</v>
      </c>
      <c r="G21" s="29">
        <v>-2126</v>
      </c>
      <c r="H21" s="29">
        <v>-3854</v>
      </c>
      <c r="I21" s="29">
        <v>1184</v>
      </c>
      <c r="L21" s="29"/>
    </row>
    <row r="22" spans="2:12" x14ac:dyDescent="0.3">
      <c r="B22" t="s">
        <v>130</v>
      </c>
      <c r="C22" s="29">
        <v>-50</v>
      </c>
      <c r="D22" s="29">
        <v>161</v>
      </c>
      <c r="E22" s="29">
        <v>101</v>
      </c>
      <c r="F22">
        <v>642</v>
      </c>
      <c r="G22">
        <v>909</v>
      </c>
      <c r="H22" s="29">
        <v>4036</v>
      </c>
      <c r="I22" s="29">
        <v>2573</v>
      </c>
    </row>
    <row r="23" spans="2:12" x14ac:dyDescent="0.3">
      <c r="B23" t="s">
        <v>119</v>
      </c>
      <c r="C23" s="29">
        <v>0</v>
      </c>
      <c r="D23" s="29">
        <v>0</v>
      </c>
      <c r="E23" s="29">
        <v>0</v>
      </c>
      <c r="F23" s="29">
        <v>1040</v>
      </c>
      <c r="G23" s="29">
        <v>1004</v>
      </c>
      <c r="H23" s="29">
        <v>3508</v>
      </c>
      <c r="I23" s="29">
        <v>1540</v>
      </c>
      <c r="J23" s="29"/>
      <c r="K23" s="29"/>
      <c r="L23" s="29"/>
    </row>
    <row r="24" spans="2:12" x14ac:dyDescent="0.3">
      <c r="B24" t="s">
        <v>120</v>
      </c>
      <c r="C24">
        <v>0</v>
      </c>
      <c r="D24">
        <v>184</v>
      </c>
      <c r="E24">
        <v>141</v>
      </c>
      <c r="F24">
        <v>16</v>
      </c>
      <c r="G24">
        <v>779</v>
      </c>
      <c r="H24">
        <v>809</v>
      </c>
      <c r="I24" s="29">
        <v>7669</v>
      </c>
    </row>
    <row r="25" spans="2:12" x14ac:dyDescent="0.3">
      <c r="B25" t="s">
        <v>121</v>
      </c>
      <c r="C25">
        <v>-21</v>
      </c>
      <c r="D25">
        <v>0</v>
      </c>
      <c r="E25" s="29">
        <v>0</v>
      </c>
      <c r="F25" s="29">
        <v>-167</v>
      </c>
      <c r="G25" s="29">
        <v>-738</v>
      </c>
      <c r="H25" s="29">
        <v>-187</v>
      </c>
      <c r="I25" s="29">
        <v>-6116</v>
      </c>
      <c r="J25" s="29"/>
      <c r="K25" s="29"/>
      <c r="L25" s="29"/>
    </row>
    <row r="26" spans="2:12" x14ac:dyDescent="0.3">
      <c r="B26" t="s">
        <v>122</v>
      </c>
      <c r="C26">
        <v>-25</v>
      </c>
      <c r="D26">
        <v>-23</v>
      </c>
      <c r="E26" s="29">
        <v>-29</v>
      </c>
      <c r="F26" s="29">
        <v>-69</v>
      </c>
      <c r="G26" s="29">
        <v>-121</v>
      </c>
      <c r="H26" s="29">
        <v>-71</v>
      </c>
      <c r="I26" s="29">
        <v>-161</v>
      </c>
      <c r="J26" s="29"/>
      <c r="K26" s="29"/>
      <c r="L26" s="29"/>
    </row>
    <row r="27" spans="2:12" x14ac:dyDescent="0.3">
      <c r="B27" t="s">
        <v>123</v>
      </c>
      <c r="C27">
        <v>0</v>
      </c>
      <c r="D27">
        <v>0</v>
      </c>
      <c r="E27">
        <v>0</v>
      </c>
      <c r="F27">
        <v>0</v>
      </c>
      <c r="G27">
        <v>-1</v>
      </c>
      <c r="H27">
        <v>0</v>
      </c>
      <c r="I27">
        <v>-58</v>
      </c>
    </row>
    <row r="28" spans="2:12" x14ac:dyDescent="0.3">
      <c r="B28" t="s">
        <v>124</v>
      </c>
      <c r="C28">
        <v>-4</v>
      </c>
      <c r="D28">
        <v>0</v>
      </c>
      <c r="E28" s="29">
        <v>-10</v>
      </c>
      <c r="F28" s="29">
        <v>-8</v>
      </c>
      <c r="G28" s="29">
        <v>-15</v>
      </c>
      <c r="H28" s="29">
        <v>-23</v>
      </c>
      <c r="I28" s="29">
        <v>-301</v>
      </c>
      <c r="J28" s="29"/>
      <c r="K28" s="29"/>
      <c r="L28" s="29"/>
    </row>
    <row r="29" spans="2:12" x14ac:dyDescent="0.3">
      <c r="B29" t="s">
        <v>125</v>
      </c>
      <c r="C29">
        <v>0</v>
      </c>
      <c r="D29">
        <v>0</v>
      </c>
      <c r="E29">
        <v>0</v>
      </c>
      <c r="F29">
        <v>-169</v>
      </c>
      <c r="G29">
        <v>-1</v>
      </c>
      <c r="H29">
        <v>0</v>
      </c>
      <c r="I29">
        <v>0</v>
      </c>
    </row>
    <row r="30" spans="2:12" x14ac:dyDescent="0.3">
      <c r="B30" t="s">
        <v>34</v>
      </c>
      <c r="C30" s="29">
        <v>12</v>
      </c>
      <c r="D30">
        <v>-21</v>
      </c>
      <c r="E30" s="29">
        <v>126</v>
      </c>
      <c r="F30">
        <v>114</v>
      </c>
      <c r="G30">
        <v>-132</v>
      </c>
      <c r="H30">
        <v>388</v>
      </c>
      <c r="I30">
        <v>247</v>
      </c>
      <c r="K30" s="29"/>
    </row>
    <row r="31" spans="2:12" x14ac:dyDescent="0.3">
      <c r="B31" t="s">
        <v>126</v>
      </c>
      <c r="C31">
        <v>32</v>
      </c>
      <c r="D31">
        <v>-35</v>
      </c>
      <c r="E31">
        <v>202</v>
      </c>
      <c r="F31" s="29">
        <v>698</v>
      </c>
      <c r="G31">
        <v>968</v>
      </c>
      <c r="H31" s="29">
        <v>-114</v>
      </c>
      <c r="I31" s="29">
        <v>-3209</v>
      </c>
      <c r="J31" s="29"/>
      <c r="L31" s="29"/>
    </row>
    <row r="32" spans="2:12" x14ac:dyDescent="0.3">
      <c r="B32" t="s">
        <v>127</v>
      </c>
      <c r="C32" s="29">
        <v>1.02</v>
      </c>
      <c r="D32" s="29">
        <v>1.05</v>
      </c>
      <c r="E32" s="30">
        <v>6.83</v>
      </c>
      <c r="F32" s="29">
        <v>1.99</v>
      </c>
      <c r="G32" s="29">
        <v>1.68</v>
      </c>
      <c r="H32" s="29">
        <v>1.43</v>
      </c>
      <c r="I32" s="29">
        <v>0.47</v>
      </c>
      <c r="J32" s="29"/>
      <c r="K32" s="29"/>
      <c r="L32" s="29"/>
    </row>
    <row r="33" spans="3:12" x14ac:dyDescent="0.3">
      <c r="C33" s="30"/>
      <c r="D33" s="30"/>
      <c r="E33" s="30"/>
      <c r="F33" s="30"/>
      <c r="G33" s="30"/>
      <c r="H33" s="30"/>
      <c r="I33" s="30"/>
      <c r="J33" s="30"/>
      <c r="K33" s="30"/>
      <c r="L33" s="3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5"/>
  </sheetPr>
  <dimension ref="A1:K93"/>
  <sheetViews>
    <sheetView zoomScaleNormal="100" zoomScalePageLayoutView="120" workbookViewId="0">
      <pane xSplit="1" ySplit="1" topLeftCell="B47" activePane="bottomRight" state="frozen"/>
      <selection activeCell="C4" sqref="C4"/>
      <selection pane="topRight" activeCell="C4" sqref="C4"/>
      <selection pane="bottomLeft" activeCell="C4" sqref="C4"/>
      <selection pane="bottomRight" activeCell="B17" sqref="B17:K17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48</v>
      </c>
      <c r="E1" s="79" t="s">
        <v>48</v>
      </c>
      <c r="F1" s="79"/>
      <c r="G1" s="79"/>
      <c r="H1" s="79"/>
      <c r="I1" s="79"/>
      <c r="J1" s="79"/>
      <c r="K1" s="79"/>
    </row>
    <row r="2" spans="1:11" x14ac:dyDescent="0.3">
      <c r="A2" s="1" t="s">
        <v>46</v>
      </c>
      <c r="B2" s="4">
        <v>2.1</v>
      </c>
      <c r="E2" s="80" t="s">
        <v>35</v>
      </c>
      <c r="F2" s="80"/>
      <c r="G2" s="80"/>
      <c r="H2" s="80"/>
      <c r="I2" s="80"/>
      <c r="J2" s="80"/>
      <c r="K2" s="80"/>
    </row>
    <row r="3" spans="1:11" x14ac:dyDescent="0.3">
      <c r="A3" s="1" t="s">
        <v>47</v>
      </c>
      <c r="B3" s="4">
        <v>2.1</v>
      </c>
    </row>
    <row r="4" spans="1:11" x14ac:dyDescent="0.3">
      <c r="A4" s="1"/>
    </row>
    <row r="5" spans="1:11" x14ac:dyDescent="0.3">
      <c r="A5" s="1" t="s">
        <v>49</v>
      </c>
    </row>
    <row r="6" spans="1:11" x14ac:dyDescent="0.3">
      <c r="A6" s="4" t="s">
        <v>41</v>
      </c>
      <c r="B6" s="4">
        <f>IF(B9&gt;0, B9/B8, 0)</f>
        <v>28.765138258081752</v>
      </c>
    </row>
    <row r="7" spans="1:11" x14ac:dyDescent="0.3">
      <c r="A7" s="4" t="s">
        <v>30</v>
      </c>
      <c r="B7">
        <v>10</v>
      </c>
    </row>
    <row r="8" spans="1:11" x14ac:dyDescent="0.3">
      <c r="A8" s="4" t="s">
        <v>42</v>
      </c>
      <c r="B8">
        <v>2994.4</v>
      </c>
    </row>
    <row r="9" spans="1:11" x14ac:dyDescent="0.3">
      <c r="A9" s="4" t="s">
        <v>64</v>
      </c>
      <c r="B9">
        <v>86134.33</v>
      </c>
    </row>
    <row r="15" spans="1:11" x14ac:dyDescent="0.3">
      <c r="A15" s="1" t="s">
        <v>36</v>
      </c>
    </row>
    <row r="16" spans="1:11" s="15" customFormat="1" x14ac:dyDescent="0.3">
      <c r="A16" s="14" t="s">
        <v>37</v>
      </c>
      <c r="B16" s="11">
        <v>42825</v>
      </c>
      <c r="C16" s="11">
        <v>43190</v>
      </c>
      <c r="D16" s="11">
        <v>43555</v>
      </c>
      <c r="E16" s="11">
        <v>43921</v>
      </c>
      <c r="F16" s="11">
        <v>44286</v>
      </c>
      <c r="G16" s="11">
        <v>44651</v>
      </c>
      <c r="H16" s="11">
        <v>45016</v>
      </c>
      <c r="I16" s="11">
        <v>45382</v>
      </c>
      <c r="J16" s="11">
        <v>45747</v>
      </c>
      <c r="K16" s="11">
        <v>46112</v>
      </c>
    </row>
    <row r="17" spans="1:11" s="6" customFormat="1" x14ac:dyDescent="0.3">
      <c r="A17" s="6" t="s">
        <v>6</v>
      </c>
      <c r="B17"/>
      <c r="C17"/>
      <c r="D17"/>
      <c r="E17">
        <v>1995.78</v>
      </c>
      <c r="F17">
        <v>1952.78</v>
      </c>
      <c r="G17">
        <v>2854.27</v>
      </c>
      <c r="H17">
        <v>6750.87</v>
      </c>
      <c r="I17">
        <v>11397.61</v>
      </c>
      <c r="J17">
        <v>14444.5</v>
      </c>
      <c r="K17">
        <v>26536.77</v>
      </c>
    </row>
    <row r="18" spans="1:11" s="6" customFormat="1" x14ac:dyDescent="0.3">
      <c r="A18" s="4" t="s">
        <v>65</v>
      </c>
      <c r="B18"/>
      <c r="C18"/>
      <c r="D18"/>
      <c r="E18">
        <v>1649.24</v>
      </c>
      <c r="F18">
        <v>1684.54</v>
      </c>
      <c r="G18">
        <v>2258.1</v>
      </c>
      <c r="H18">
        <v>6157.99</v>
      </c>
      <c r="I18">
        <v>9321.7900000000009</v>
      </c>
      <c r="J18">
        <v>9537.0300000000007</v>
      </c>
      <c r="K18">
        <v>20035.91</v>
      </c>
    </row>
    <row r="19" spans="1:11" s="6" customFormat="1" x14ac:dyDescent="0.3">
      <c r="A19" s="4" t="s">
        <v>66</v>
      </c>
      <c r="B19"/>
      <c r="C19"/>
      <c r="D19"/>
      <c r="E19">
        <v>19.510000000000002</v>
      </c>
      <c r="F19">
        <v>73.08</v>
      </c>
      <c r="G19">
        <v>-63.6</v>
      </c>
      <c r="H19">
        <v>1006.9</v>
      </c>
      <c r="I19">
        <v>561.99</v>
      </c>
      <c r="J19">
        <v>-652.79</v>
      </c>
      <c r="K19">
        <v>1954.97</v>
      </c>
    </row>
    <row r="20" spans="1:11" s="6" customFormat="1" x14ac:dyDescent="0.3">
      <c r="A20" s="4" t="s">
        <v>67</v>
      </c>
      <c r="B20"/>
      <c r="C20"/>
      <c r="D20"/>
      <c r="E20">
        <v>12.65</v>
      </c>
      <c r="F20">
        <v>10.11</v>
      </c>
      <c r="G20">
        <v>19.71</v>
      </c>
      <c r="H20">
        <v>50.51</v>
      </c>
      <c r="I20">
        <v>88.39</v>
      </c>
      <c r="J20">
        <v>115.61</v>
      </c>
    </row>
    <row r="21" spans="1:11" s="6" customFormat="1" x14ac:dyDescent="0.3">
      <c r="A21" s="4" t="s">
        <v>68</v>
      </c>
      <c r="B21"/>
      <c r="C21"/>
      <c r="D21"/>
      <c r="E21">
        <v>133.66999999999999</v>
      </c>
      <c r="F21">
        <v>137.6</v>
      </c>
      <c r="G21">
        <v>267.74</v>
      </c>
      <c r="H21">
        <v>412.53</v>
      </c>
      <c r="I21">
        <v>167.26</v>
      </c>
      <c r="J21">
        <v>219.48</v>
      </c>
    </row>
    <row r="22" spans="1:11" s="6" customFormat="1" x14ac:dyDescent="0.3">
      <c r="A22" s="4" t="s">
        <v>69</v>
      </c>
      <c r="B22"/>
      <c r="C22"/>
      <c r="D22"/>
      <c r="E22">
        <v>55.43</v>
      </c>
      <c r="F22">
        <v>49.38</v>
      </c>
      <c r="G22">
        <v>56.91</v>
      </c>
      <c r="H22">
        <v>123.79</v>
      </c>
      <c r="I22">
        <v>177.15</v>
      </c>
      <c r="J22">
        <v>318.17</v>
      </c>
      <c r="K22">
        <v>599.25</v>
      </c>
    </row>
    <row r="23" spans="1:11" s="6" customFormat="1" x14ac:dyDescent="0.3">
      <c r="A23" s="4" t="s">
        <v>70</v>
      </c>
      <c r="B23"/>
      <c r="C23"/>
      <c r="D23"/>
      <c r="E23">
        <v>49.04</v>
      </c>
      <c r="F23">
        <v>44.78</v>
      </c>
      <c r="G23">
        <v>56.23</v>
      </c>
      <c r="H23">
        <v>121.18</v>
      </c>
      <c r="I23">
        <v>574.71</v>
      </c>
      <c r="J23">
        <v>738.77</v>
      </c>
      <c r="K23">
        <v>1947.94</v>
      </c>
    </row>
    <row r="24" spans="1:11" s="6" customFormat="1" x14ac:dyDescent="0.3">
      <c r="A24" s="4" t="s">
        <v>71</v>
      </c>
      <c r="B24"/>
      <c r="C24"/>
      <c r="D24"/>
      <c r="E24">
        <v>22.49</v>
      </c>
      <c r="F24">
        <v>14.62</v>
      </c>
      <c r="G24">
        <v>26.03</v>
      </c>
      <c r="H24">
        <v>55.96</v>
      </c>
      <c r="I24">
        <v>55.87</v>
      </c>
      <c r="J24">
        <v>141.01</v>
      </c>
      <c r="K24"/>
    </row>
    <row r="25" spans="1:11" s="6" customFormat="1" x14ac:dyDescent="0.3">
      <c r="A25" s="6" t="s">
        <v>9</v>
      </c>
      <c r="B25"/>
      <c r="C25"/>
      <c r="D25"/>
      <c r="E25">
        <v>25.01</v>
      </c>
      <c r="F25">
        <v>44.65</v>
      </c>
      <c r="G25">
        <v>96.58</v>
      </c>
      <c r="H25">
        <v>87.74</v>
      </c>
      <c r="I25">
        <v>576.49</v>
      </c>
      <c r="J25">
        <v>397.54</v>
      </c>
      <c r="K25">
        <v>413.37</v>
      </c>
    </row>
    <row r="26" spans="1:11" s="6" customFormat="1" x14ac:dyDescent="0.3">
      <c r="A26" s="6" t="s">
        <v>10</v>
      </c>
      <c r="B26"/>
      <c r="C26"/>
      <c r="D26"/>
      <c r="E26">
        <v>27.13</v>
      </c>
      <c r="F26">
        <v>28.66</v>
      </c>
      <c r="G26">
        <v>43.27</v>
      </c>
      <c r="H26">
        <v>164.13</v>
      </c>
      <c r="I26">
        <v>276.81</v>
      </c>
      <c r="J26">
        <v>402.45</v>
      </c>
      <c r="K26">
        <v>989.72</v>
      </c>
    </row>
    <row r="27" spans="1:11" s="6" customFormat="1" x14ac:dyDescent="0.3">
      <c r="A27" s="6" t="s">
        <v>11</v>
      </c>
      <c r="B27"/>
      <c r="C27"/>
      <c r="D27"/>
      <c r="E27">
        <v>33.71</v>
      </c>
      <c r="F27">
        <v>30.92</v>
      </c>
      <c r="G27">
        <v>40.880000000000003</v>
      </c>
      <c r="H27">
        <v>82.27</v>
      </c>
      <c r="I27">
        <v>139.91</v>
      </c>
      <c r="J27">
        <v>152.09</v>
      </c>
      <c r="K27">
        <v>280.5</v>
      </c>
    </row>
    <row r="28" spans="1:11" s="6" customFormat="1" x14ac:dyDescent="0.3">
      <c r="A28" s="6" t="s">
        <v>12</v>
      </c>
      <c r="B28"/>
      <c r="C28"/>
      <c r="D28"/>
      <c r="E28">
        <v>56.94</v>
      </c>
      <c r="F28">
        <v>69.900000000000006</v>
      </c>
      <c r="G28">
        <v>118.38</v>
      </c>
      <c r="H28">
        <v>677.15</v>
      </c>
      <c r="I28">
        <v>1734.2</v>
      </c>
      <c r="J28">
        <v>2564.64</v>
      </c>
      <c r="K28">
        <v>5051.79</v>
      </c>
    </row>
    <row r="29" spans="1:11" s="6" customFormat="1" x14ac:dyDescent="0.3">
      <c r="A29" s="6" t="s">
        <v>13</v>
      </c>
      <c r="B29"/>
      <c r="C29"/>
      <c r="D29"/>
      <c r="E29">
        <v>17.920000000000002</v>
      </c>
      <c r="F29">
        <v>21.72</v>
      </c>
      <c r="G29">
        <v>38.72</v>
      </c>
      <c r="H29">
        <v>176.88</v>
      </c>
      <c r="I29">
        <v>459.82</v>
      </c>
      <c r="J29">
        <v>636.51</v>
      </c>
      <c r="K29">
        <v>1167.6400000000001</v>
      </c>
    </row>
    <row r="30" spans="1:11" s="6" customFormat="1" x14ac:dyDescent="0.3">
      <c r="A30" s="6" t="s">
        <v>14</v>
      </c>
      <c r="B30"/>
      <c r="C30"/>
      <c r="D30"/>
      <c r="E30">
        <v>41.71</v>
      </c>
      <c r="F30">
        <v>49.21</v>
      </c>
      <c r="G30">
        <v>75.64</v>
      </c>
      <c r="H30">
        <v>482.76</v>
      </c>
      <c r="I30">
        <v>1237.18</v>
      </c>
      <c r="J30">
        <v>1867.39</v>
      </c>
      <c r="K30">
        <v>3711.3</v>
      </c>
    </row>
    <row r="31" spans="1:11" s="6" customFormat="1" x14ac:dyDescent="0.3">
      <c r="A31" s="6" t="s">
        <v>55</v>
      </c>
      <c r="B31"/>
      <c r="C31"/>
      <c r="D31"/>
      <c r="E31"/>
      <c r="F31"/>
      <c r="G31"/>
      <c r="H31"/>
      <c r="I31"/>
      <c r="J31"/>
      <c r="K31">
        <v>57.53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38</v>
      </c>
    </row>
    <row r="41" spans="1:11" s="15" customFormat="1" x14ac:dyDescent="0.3">
      <c r="A41" s="14" t="s">
        <v>37</v>
      </c>
      <c r="B41" s="11">
        <v>45291</v>
      </c>
      <c r="C41" s="11">
        <v>45382</v>
      </c>
      <c r="D41" s="11">
        <v>45473</v>
      </c>
      <c r="E41" s="11">
        <v>45565</v>
      </c>
      <c r="F41" s="11">
        <v>45657</v>
      </c>
      <c r="G41" s="11">
        <v>45747</v>
      </c>
      <c r="H41" s="11">
        <v>45838</v>
      </c>
      <c r="I41" s="11">
        <v>45930</v>
      </c>
      <c r="J41" s="11">
        <v>46022</v>
      </c>
      <c r="K41" s="11">
        <v>46112</v>
      </c>
    </row>
    <row r="42" spans="1:11" s="6" customFormat="1" x14ac:dyDescent="0.3">
      <c r="A42" s="6" t="s">
        <v>6</v>
      </c>
      <c r="B42">
        <v>1596.18</v>
      </c>
      <c r="C42">
        <v>2935.84</v>
      </c>
      <c r="D42">
        <v>3408.9</v>
      </c>
      <c r="E42">
        <v>3574.38</v>
      </c>
      <c r="F42">
        <v>3457.29</v>
      </c>
      <c r="G42">
        <v>4003.93</v>
      </c>
      <c r="H42">
        <v>4425.83</v>
      </c>
      <c r="I42">
        <v>6065.64</v>
      </c>
      <c r="J42">
        <v>7565.05</v>
      </c>
      <c r="K42">
        <v>8480.25</v>
      </c>
    </row>
    <row r="43" spans="1:11" s="6" customFormat="1" x14ac:dyDescent="0.3">
      <c r="A43" s="6" t="s">
        <v>7</v>
      </c>
      <c r="B43">
        <v>1424.95</v>
      </c>
      <c r="C43">
        <v>2517.5</v>
      </c>
      <c r="D43">
        <v>2856.42</v>
      </c>
      <c r="E43">
        <v>3049.53</v>
      </c>
      <c r="F43">
        <v>2735.56</v>
      </c>
      <c r="G43">
        <v>3081.35</v>
      </c>
      <c r="H43">
        <v>3428.51</v>
      </c>
      <c r="I43">
        <v>4659.24</v>
      </c>
      <c r="J43">
        <v>5636.89</v>
      </c>
      <c r="K43">
        <v>6903.5</v>
      </c>
    </row>
    <row r="44" spans="1:11" s="6" customFormat="1" x14ac:dyDescent="0.3">
      <c r="A44" s="6" t="s">
        <v>9</v>
      </c>
      <c r="B44">
        <v>104.7</v>
      </c>
      <c r="C44">
        <v>363.83</v>
      </c>
      <c r="D44">
        <v>87.51</v>
      </c>
      <c r="E44">
        <v>89.09</v>
      </c>
      <c r="F44">
        <v>87.98</v>
      </c>
      <c r="G44">
        <v>132.97</v>
      </c>
      <c r="H44">
        <v>171.35</v>
      </c>
      <c r="I44">
        <v>160.9</v>
      </c>
      <c r="J44">
        <v>-98.6</v>
      </c>
      <c r="K44">
        <v>179.73</v>
      </c>
    </row>
    <row r="45" spans="1:11" s="6" customFormat="1" x14ac:dyDescent="0.3">
      <c r="A45" s="6" t="s">
        <v>10</v>
      </c>
      <c r="B45">
        <v>73.900000000000006</v>
      </c>
      <c r="C45">
        <v>75.150000000000006</v>
      </c>
      <c r="D45">
        <v>75.77</v>
      </c>
      <c r="E45">
        <v>84.27</v>
      </c>
      <c r="F45">
        <v>89.05</v>
      </c>
      <c r="G45">
        <v>153.38</v>
      </c>
      <c r="H45">
        <v>182.06</v>
      </c>
      <c r="I45">
        <v>239.76</v>
      </c>
      <c r="J45">
        <v>267.26</v>
      </c>
      <c r="K45">
        <v>300.64</v>
      </c>
    </row>
    <row r="46" spans="1:11" s="6" customFormat="1" x14ac:dyDescent="0.3">
      <c r="A46" s="6" t="s">
        <v>11</v>
      </c>
      <c r="B46">
        <v>18.45</v>
      </c>
      <c r="C46">
        <v>48.41</v>
      </c>
      <c r="D46">
        <v>33.700000000000003</v>
      </c>
      <c r="E46">
        <v>30.83</v>
      </c>
      <c r="F46">
        <v>30.85</v>
      </c>
      <c r="G46">
        <v>56.72</v>
      </c>
      <c r="H46">
        <v>43.25</v>
      </c>
      <c r="I46">
        <v>96.08</v>
      </c>
      <c r="J46">
        <v>93.28</v>
      </c>
      <c r="K46">
        <v>47.89</v>
      </c>
    </row>
    <row r="47" spans="1:11" s="6" customFormat="1" x14ac:dyDescent="0.3">
      <c r="A47" s="6" t="s">
        <v>12</v>
      </c>
      <c r="B47">
        <v>183.58</v>
      </c>
      <c r="C47">
        <v>658.61</v>
      </c>
      <c r="D47">
        <v>530.52</v>
      </c>
      <c r="E47">
        <v>498.84</v>
      </c>
      <c r="F47">
        <v>689.81</v>
      </c>
      <c r="G47">
        <v>845.45</v>
      </c>
      <c r="H47">
        <v>943.36</v>
      </c>
      <c r="I47">
        <v>1231.46</v>
      </c>
      <c r="J47">
        <v>1469.02</v>
      </c>
      <c r="K47">
        <v>1407.95</v>
      </c>
    </row>
    <row r="48" spans="1:11" s="6" customFormat="1" x14ac:dyDescent="0.3">
      <c r="A48" s="6" t="s">
        <v>13</v>
      </c>
      <c r="B48">
        <v>42.77</v>
      </c>
      <c r="C48">
        <v>183.45</v>
      </c>
      <c r="D48">
        <v>129.41</v>
      </c>
      <c r="E48">
        <v>123.18</v>
      </c>
      <c r="F48">
        <v>182.93</v>
      </c>
      <c r="G48">
        <v>200.99</v>
      </c>
      <c r="H48">
        <v>170.47</v>
      </c>
      <c r="I48">
        <v>353.25</v>
      </c>
      <c r="J48">
        <v>362.23</v>
      </c>
      <c r="K48">
        <v>281.69</v>
      </c>
    </row>
    <row r="49" spans="1:11" s="6" customFormat="1" x14ac:dyDescent="0.3">
      <c r="A49" s="6" t="s">
        <v>14</v>
      </c>
      <c r="B49">
        <v>124.53</v>
      </c>
      <c r="C49">
        <v>461.52</v>
      </c>
      <c r="D49">
        <v>394.14</v>
      </c>
      <c r="E49">
        <v>361.65</v>
      </c>
      <c r="F49">
        <v>492.69</v>
      </c>
      <c r="G49">
        <v>618.91</v>
      </c>
      <c r="H49">
        <v>745.2</v>
      </c>
      <c r="I49">
        <v>842.55</v>
      </c>
      <c r="J49">
        <v>1062.46</v>
      </c>
      <c r="K49">
        <v>1061.0999999999999</v>
      </c>
    </row>
    <row r="50" spans="1:11" x14ac:dyDescent="0.3">
      <c r="A50" s="6" t="s">
        <v>8</v>
      </c>
      <c r="B50">
        <v>171.23</v>
      </c>
      <c r="C50">
        <v>418.34</v>
      </c>
      <c r="D50">
        <v>552.48</v>
      </c>
      <c r="E50">
        <v>524.85</v>
      </c>
      <c r="F50">
        <v>721.73</v>
      </c>
      <c r="G50">
        <v>922.58</v>
      </c>
      <c r="H50">
        <v>997.32</v>
      </c>
      <c r="I50">
        <v>1406.4</v>
      </c>
      <c r="J50">
        <v>1928.16</v>
      </c>
      <c r="K50">
        <v>1576.75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39</v>
      </c>
    </row>
    <row r="56" spans="1:11" s="15" customFormat="1" x14ac:dyDescent="0.3">
      <c r="A56" s="14" t="s">
        <v>37</v>
      </c>
      <c r="B56" s="11">
        <v>42825</v>
      </c>
      <c r="C56" s="11">
        <v>43190</v>
      </c>
      <c r="D56" s="11">
        <v>43555</v>
      </c>
      <c r="E56" s="11">
        <v>43921</v>
      </c>
      <c r="F56" s="11">
        <v>44286</v>
      </c>
      <c r="G56" s="11">
        <v>44651</v>
      </c>
      <c r="H56" s="11">
        <v>45016</v>
      </c>
      <c r="I56" s="11">
        <v>45382</v>
      </c>
      <c r="J56" s="11">
        <v>45747</v>
      </c>
      <c r="K56" s="11">
        <v>46112</v>
      </c>
    </row>
    <row r="57" spans="1:11" x14ac:dyDescent="0.3">
      <c r="A57" s="6" t="s">
        <v>24</v>
      </c>
      <c r="B57"/>
      <c r="C57"/>
      <c r="D57"/>
      <c r="E57">
        <v>197.14</v>
      </c>
      <c r="F57">
        <v>197.14</v>
      </c>
      <c r="G57">
        <v>197.14</v>
      </c>
      <c r="H57">
        <v>243.37</v>
      </c>
      <c r="I57">
        <v>262.95999999999998</v>
      </c>
      <c r="J57">
        <v>287.27999999999997</v>
      </c>
      <c r="K57">
        <v>287.64999999999998</v>
      </c>
    </row>
    <row r="58" spans="1:11" x14ac:dyDescent="0.3">
      <c r="A58" s="6" t="s">
        <v>25</v>
      </c>
      <c r="B58"/>
      <c r="C58"/>
      <c r="D58"/>
      <c r="E58">
        <v>100.88</v>
      </c>
      <c r="F58">
        <v>147.85</v>
      </c>
      <c r="G58">
        <v>230.51</v>
      </c>
      <c r="H58">
        <v>1595.04</v>
      </c>
      <c r="I58">
        <v>3824.85</v>
      </c>
      <c r="J58">
        <v>9191.92</v>
      </c>
      <c r="K58">
        <v>14149.69</v>
      </c>
    </row>
    <row r="59" spans="1:11" x14ac:dyDescent="0.3">
      <c r="A59" s="6" t="s">
        <v>56</v>
      </c>
      <c r="B59"/>
      <c r="C59"/>
      <c r="D59"/>
      <c r="E59">
        <v>157.07</v>
      </c>
      <c r="F59">
        <v>339.9</v>
      </c>
      <c r="G59">
        <v>363.41</v>
      </c>
      <c r="H59">
        <v>320.27</v>
      </c>
      <c r="I59">
        <v>553.39</v>
      </c>
      <c r="J59">
        <v>1198.99</v>
      </c>
      <c r="K59">
        <v>3212.62</v>
      </c>
    </row>
    <row r="60" spans="1:11" x14ac:dyDescent="0.3">
      <c r="A60" s="6" t="s">
        <v>57</v>
      </c>
      <c r="B60"/>
      <c r="C60"/>
      <c r="D60"/>
      <c r="E60">
        <v>483.18</v>
      </c>
      <c r="F60">
        <v>595.64</v>
      </c>
      <c r="G60">
        <v>1362.49</v>
      </c>
      <c r="H60">
        <v>5246.97</v>
      </c>
      <c r="I60">
        <v>6635.44</v>
      </c>
      <c r="J60">
        <v>9027.85</v>
      </c>
      <c r="K60">
        <v>12465.41</v>
      </c>
    </row>
    <row r="61" spans="1:11" s="1" customFormat="1" x14ac:dyDescent="0.3">
      <c r="A61" s="1" t="s">
        <v>26</v>
      </c>
      <c r="B61"/>
      <c r="C61"/>
      <c r="D61"/>
      <c r="E61">
        <v>938.27</v>
      </c>
      <c r="F61">
        <v>1280.53</v>
      </c>
      <c r="G61">
        <v>2153.5500000000002</v>
      </c>
      <c r="H61">
        <v>7405.65</v>
      </c>
      <c r="I61">
        <v>11276.64</v>
      </c>
      <c r="J61">
        <v>19706.04</v>
      </c>
      <c r="K61">
        <v>30115.37</v>
      </c>
    </row>
    <row r="62" spans="1:11" x14ac:dyDescent="0.3">
      <c r="A62" s="6" t="s">
        <v>27</v>
      </c>
      <c r="B62"/>
      <c r="C62"/>
      <c r="D62"/>
      <c r="E62">
        <v>151.75</v>
      </c>
      <c r="F62">
        <v>284.70999999999998</v>
      </c>
      <c r="G62">
        <v>624.62</v>
      </c>
      <c r="H62">
        <v>1105.27</v>
      </c>
      <c r="I62">
        <v>1449.85</v>
      </c>
      <c r="J62">
        <v>4050.95</v>
      </c>
      <c r="K62">
        <v>7328.57</v>
      </c>
    </row>
    <row r="63" spans="1:11" x14ac:dyDescent="0.3">
      <c r="A63" s="6" t="s">
        <v>28</v>
      </c>
      <c r="B63"/>
      <c r="C63"/>
      <c r="D63"/>
      <c r="E63">
        <v>40.22</v>
      </c>
      <c r="F63">
        <v>2.84</v>
      </c>
      <c r="G63">
        <v>123.76</v>
      </c>
      <c r="H63">
        <v>537.19000000000005</v>
      </c>
      <c r="I63">
        <v>1341.44</v>
      </c>
      <c r="J63">
        <v>1884.14</v>
      </c>
      <c r="K63">
        <v>3476.15</v>
      </c>
    </row>
    <row r="64" spans="1:11" x14ac:dyDescent="0.3">
      <c r="A64" s="6" t="s">
        <v>29</v>
      </c>
      <c r="B64"/>
      <c r="C64"/>
      <c r="D64"/>
      <c r="E64">
        <v>85.46</v>
      </c>
      <c r="F64">
        <v>115.44</v>
      </c>
      <c r="G64">
        <v>143.16</v>
      </c>
      <c r="H64">
        <v>31.06</v>
      </c>
      <c r="I64">
        <v>71.150000000000006</v>
      </c>
      <c r="J64">
        <v>64.680000000000007</v>
      </c>
      <c r="K64">
        <v>952.84</v>
      </c>
    </row>
    <row r="65" spans="1:11" x14ac:dyDescent="0.3">
      <c r="A65" s="6" t="s">
        <v>58</v>
      </c>
      <c r="B65"/>
      <c r="C65"/>
      <c r="D65"/>
      <c r="E65">
        <v>660.84</v>
      </c>
      <c r="F65">
        <v>877.54</v>
      </c>
      <c r="G65">
        <v>1262.01</v>
      </c>
      <c r="H65">
        <v>5732.13</v>
      </c>
      <c r="I65">
        <v>8414.2000000000007</v>
      </c>
      <c r="J65">
        <v>13706.27</v>
      </c>
      <c r="K65">
        <v>18357.810000000001</v>
      </c>
    </row>
    <row r="66" spans="1:11" s="1" customFormat="1" x14ac:dyDescent="0.3">
      <c r="A66" s="1" t="s">
        <v>26</v>
      </c>
      <c r="B66"/>
      <c r="C66"/>
      <c r="D66"/>
      <c r="E66">
        <v>938.27</v>
      </c>
      <c r="F66">
        <v>1280.53</v>
      </c>
      <c r="G66">
        <v>2153.5500000000002</v>
      </c>
      <c r="H66">
        <v>7405.65</v>
      </c>
      <c r="I66">
        <v>11276.64</v>
      </c>
      <c r="J66">
        <v>19706.04</v>
      </c>
      <c r="K66">
        <v>30115.37</v>
      </c>
    </row>
    <row r="67" spans="1:11" s="6" customFormat="1" x14ac:dyDescent="0.3">
      <c r="A67" s="6" t="s">
        <v>63</v>
      </c>
      <c r="B67"/>
      <c r="C67"/>
      <c r="D67"/>
      <c r="E67">
        <v>140.24</v>
      </c>
      <c r="F67">
        <v>116.72</v>
      </c>
      <c r="G67">
        <v>92.52</v>
      </c>
      <c r="H67">
        <v>312.61</v>
      </c>
      <c r="I67">
        <v>971.39</v>
      </c>
      <c r="J67">
        <v>1184.77</v>
      </c>
      <c r="K67">
        <v>2492.3200000000002</v>
      </c>
    </row>
    <row r="68" spans="1:11" x14ac:dyDescent="0.3">
      <c r="A68" s="6" t="s">
        <v>43</v>
      </c>
      <c r="B68"/>
      <c r="C68"/>
      <c r="D68"/>
      <c r="E68">
        <v>243.11</v>
      </c>
      <c r="F68">
        <v>368</v>
      </c>
      <c r="G68">
        <v>538.16999999999996</v>
      </c>
      <c r="H68">
        <v>2708.87</v>
      </c>
      <c r="I68">
        <v>2585.5300000000002</v>
      </c>
      <c r="J68">
        <v>2692.11</v>
      </c>
      <c r="K68">
        <v>5855.64</v>
      </c>
    </row>
    <row r="69" spans="1:11" x14ac:dyDescent="0.3">
      <c r="A69" s="4" t="s">
        <v>72</v>
      </c>
      <c r="B69"/>
      <c r="C69"/>
      <c r="D69"/>
      <c r="E69">
        <v>78.7</v>
      </c>
      <c r="F69">
        <v>110.25</v>
      </c>
      <c r="G69">
        <v>366.37</v>
      </c>
      <c r="H69">
        <v>1736.42</v>
      </c>
      <c r="I69">
        <v>3779.17</v>
      </c>
      <c r="J69">
        <v>7747.82</v>
      </c>
      <c r="K69">
        <v>6728.37</v>
      </c>
    </row>
    <row r="70" spans="1:11" x14ac:dyDescent="0.3">
      <c r="A70" s="4" t="s">
        <v>59</v>
      </c>
      <c r="B70"/>
      <c r="C70"/>
      <c r="D70"/>
      <c r="E70">
        <v>197138492</v>
      </c>
      <c r="F70">
        <v>197138492</v>
      </c>
      <c r="G70">
        <v>197138492</v>
      </c>
      <c r="H70">
        <v>243366071</v>
      </c>
      <c r="I70">
        <v>262961550</v>
      </c>
      <c r="J70">
        <v>287283199</v>
      </c>
    </row>
    <row r="71" spans="1:11" x14ac:dyDescent="0.3">
      <c r="A71" s="4" t="s">
        <v>60</v>
      </c>
    </row>
    <row r="72" spans="1:11" x14ac:dyDescent="0.3">
      <c r="A72" s="4" t="s">
        <v>73</v>
      </c>
      <c r="B72"/>
      <c r="C72"/>
      <c r="D72"/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40</v>
      </c>
    </row>
    <row r="81" spans="1:11" s="15" customFormat="1" x14ac:dyDescent="0.3">
      <c r="A81" s="14" t="s">
        <v>37</v>
      </c>
      <c r="B81" s="11">
        <v>42825</v>
      </c>
      <c r="C81" s="11">
        <v>43190</v>
      </c>
      <c r="D81" s="11">
        <v>43555</v>
      </c>
      <c r="E81" s="11">
        <v>43921</v>
      </c>
      <c r="F81" s="11">
        <v>44286</v>
      </c>
      <c r="G81" s="11">
        <v>44651</v>
      </c>
      <c r="H81" s="11">
        <v>45016</v>
      </c>
      <c r="I81" s="11">
        <v>45382</v>
      </c>
      <c r="J81" s="11">
        <v>45747</v>
      </c>
      <c r="K81" s="11">
        <v>46112</v>
      </c>
    </row>
    <row r="82" spans="1:11" s="1" customFormat="1" x14ac:dyDescent="0.3">
      <c r="A82" s="6" t="s">
        <v>31</v>
      </c>
      <c r="B82"/>
      <c r="C82"/>
      <c r="D82"/>
      <c r="E82">
        <v>83.24</v>
      </c>
      <c r="F82">
        <v>67.28</v>
      </c>
      <c r="G82">
        <v>697.96</v>
      </c>
      <c r="H82">
        <v>1560.23</v>
      </c>
      <c r="I82">
        <v>2305.04</v>
      </c>
      <c r="J82">
        <v>3158.21</v>
      </c>
      <c r="K82">
        <v>1626.95</v>
      </c>
    </row>
    <row r="83" spans="1:11" s="6" customFormat="1" x14ac:dyDescent="0.3">
      <c r="A83" s="6" t="s">
        <v>32</v>
      </c>
      <c r="B83"/>
      <c r="C83"/>
      <c r="D83"/>
      <c r="E83">
        <v>-21.83</v>
      </c>
      <c r="F83">
        <v>-249.69</v>
      </c>
      <c r="G83">
        <v>-672.65</v>
      </c>
      <c r="H83">
        <v>-2088.2399999999998</v>
      </c>
      <c r="I83">
        <v>-3346.49</v>
      </c>
      <c r="J83">
        <v>-6805.51</v>
      </c>
      <c r="K83">
        <v>-3953.18</v>
      </c>
    </row>
    <row r="84" spans="1:11" s="6" customFormat="1" x14ac:dyDescent="0.3">
      <c r="A84" s="6" t="s">
        <v>33</v>
      </c>
      <c r="B84"/>
      <c r="C84"/>
      <c r="D84"/>
      <c r="E84">
        <v>-49.78</v>
      </c>
      <c r="F84">
        <v>161.33000000000001</v>
      </c>
      <c r="G84">
        <v>101.06</v>
      </c>
      <c r="H84">
        <v>642.48</v>
      </c>
      <c r="I84">
        <v>909.19</v>
      </c>
      <c r="J84">
        <v>4035.74</v>
      </c>
      <c r="K84">
        <v>2573.11</v>
      </c>
    </row>
    <row r="85" spans="1:11" s="1" customFormat="1" x14ac:dyDescent="0.3">
      <c r="A85" s="6" t="s">
        <v>34</v>
      </c>
      <c r="B85"/>
      <c r="C85"/>
      <c r="D85"/>
      <c r="E85">
        <v>11.64</v>
      </c>
      <c r="F85">
        <v>-21.08</v>
      </c>
      <c r="G85">
        <v>126.37</v>
      </c>
      <c r="H85">
        <v>114.47</v>
      </c>
      <c r="I85">
        <v>-132.26</v>
      </c>
      <c r="J85">
        <v>388.44</v>
      </c>
      <c r="K85">
        <v>246.88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62</v>
      </c>
      <c r="B90"/>
      <c r="C90"/>
      <c r="D90"/>
      <c r="E90"/>
      <c r="F90"/>
      <c r="G90"/>
      <c r="H90"/>
      <c r="I90"/>
      <c r="J90">
        <v>2404.65</v>
      </c>
      <c r="K90">
        <v>3109.8</v>
      </c>
    </row>
    <row r="92" spans="1:11" s="1" customFormat="1" x14ac:dyDescent="0.3">
      <c r="A92" s="1" t="s">
        <v>61</v>
      </c>
    </row>
    <row r="93" spans="1:11" x14ac:dyDescent="0.3">
      <c r="A93" s="4" t="s">
        <v>74</v>
      </c>
      <c r="B93" s="16"/>
      <c r="C93" s="16"/>
      <c r="D93" s="16"/>
      <c r="E93" s="16">
        <v>19.71</v>
      </c>
      <c r="F93" s="16">
        <v>19.71</v>
      </c>
      <c r="G93" s="16">
        <v>19.71</v>
      </c>
      <c r="H93" s="16">
        <v>19.71</v>
      </c>
      <c r="I93" s="16">
        <v>19.71</v>
      </c>
      <c r="J93" s="16">
        <v>28.73</v>
      </c>
      <c r="K93" s="16">
        <v>28.77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5B22F-B23A-45AF-AD35-73AA665DE67A}">
  <dimension ref="B1:O27"/>
  <sheetViews>
    <sheetView showGridLines="0" topLeftCell="A5" zoomScaleNormal="100" workbookViewId="0">
      <selection activeCell="D15" sqref="D15"/>
    </sheetView>
  </sheetViews>
  <sheetFormatPr defaultRowHeight="14.4" x14ac:dyDescent="0.3"/>
  <cols>
    <col min="1" max="1" width="1.88671875" customWidth="1"/>
    <col min="2" max="2" width="11.33203125" bestFit="1" customWidth="1"/>
    <col min="3" max="3" width="9.109375" customWidth="1"/>
    <col min="4" max="4" width="11.77734375" customWidth="1"/>
    <col min="5" max="5" width="11.6640625" customWidth="1"/>
    <col min="6" max="6" width="9.77734375" bestFit="1" customWidth="1"/>
    <col min="7" max="7" width="17.44140625" bestFit="1" customWidth="1"/>
    <col min="8" max="8" width="12" bestFit="1" customWidth="1"/>
    <col min="9" max="9" width="13.44140625" bestFit="1" customWidth="1"/>
    <col min="10" max="11" width="12" bestFit="1" customWidth="1"/>
    <col min="12" max="12" width="12.44140625" bestFit="1" customWidth="1"/>
    <col min="13" max="13" width="12" bestFit="1" customWidth="1"/>
    <col min="14" max="15" width="12.109375" bestFit="1" customWidth="1"/>
  </cols>
  <sheetData>
    <row r="1" spans="2:14" x14ac:dyDescent="0.3">
      <c r="B1" s="81" t="s">
        <v>176</v>
      </c>
      <c r="C1" s="81"/>
      <c r="D1" s="81"/>
      <c r="E1" s="81"/>
    </row>
    <row r="2" spans="2:14" x14ac:dyDescent="0.3">
      <c r="B2" s="53" t="s">
        <v>174</v>
      </c>
      <c r="C2" s="54" t="s">
        <v>175</v>
      </c>
      <c r="D2" s="54" t="s">
        <v>6</v>
      </c>
      <c r="E2" s="54" t="s">
        <v>22</v>
      </c>
      <c r="F2" s="28"/>
      <c r="G2" s="28"/>
      <c r="H2" s="28"/>
      <c r="I2" s="28"/>
      <c r="J2" s="28"/>
      <c r="K2" s="28"/>
      <c r="L2" s="28"/>
      <c r="M2" s="28"/>
      <c r="N2" s="28"/>
    </row>
    <row r="3" spans="2:14" x14ac:dyDescent="0.3">
      <c r="B3" s="55">
        <v>1</v>
      </c>
      <c r="C3" s="56">
        <v>2015</v>
      </c>
      <c r="D3" s="63">
        <v>263159</v>
      </c>
      <c r="E3" s="52"/>
      <c r="F3" s="52"/>
      <c r="G3" s="52"/>
      <c r="H3" s="52"/>
      <c r="I3" s="52"/>
      <c r="J3" s="52"/>
      <c r="K3" s="52"/>
      <c r="L3" s="52"/>
      <c r="M3" s="52"/>
      <c r="N3" s="52"/>
    </row>
    <row r="4" spans="2:14" x14ac:dyDescent="0.3">
      <c r="B4" s="55">
        <f>B3+1</f>
        <v>2</v>
      </c>
      <c r="C4" s="56">
        <f t="shared" ref="C4:C14" si="0">C3+1</f>
        <v>2016</v>
      </c>
      <c r="D4" s="63">
        <v>273046</v>
      </c>
      <c r="E4" s="26">
        <f>D4/D3-1</f>
        <v>3.757044220414274E-2</v>
      </c>
    </row>
    <row r="5" spans="2:14" x14ac:dyDescent="0.3">
      <c r="B5" s="55">
        <f t="shared" ref="B5:B14" si="1">B4+1</f>
        <v>3</v>
      </c>
      <c r="C5" s="56">
        <f t="shared" si="0"/>
        <v>2017</v>
      </c>
      <c r="D5" s="63">
        <v>269693</v>
      </c>
      <c r="E5" s="26">
        <f t="shared" ref="E5:E19" si="2">D5/D4-1</f>
        <v>-1.2279982127553546E-2</v>
      </c>
    </row>
    <row r="6" spans="2:14" x14ac:dyDescent="0.3">
      <c r="B6" s="55">
        <f t="shared" si="1"/>
        <v>4</v>
      </c>
      <c r="C6" s="56">
        <f t="shared" si="0"/>
        <v>2018</v>
      </c>
      <c r="D6" s="63">
        <v>291550</v>
      </c>
      <c r="E6" s="26">
        <f t="shared" si="2"/>
        <v>8.1044001883623151E-2</v>
      </c>
    </row>
    <row r="7" spans="2:14" x14ac:dyDescent="0.3">
      <c r="B7" s="55">
        <f t="shared" si="1"/>
        <v>5</v>
      </c>
      <c r="C7" s="56">
        <f t="shared" si="0"/>
        <v>2019</v>
      </c>
      <c r="D7" s="63">
        <v>301938</v>
      </c>
      <c r="E7" s="26">
        <f t="shared" si="2"/>
        <v>3.5630252100840254E-2</v>
      </c>
      <c r="F7" t="s">
        <v>201</v>
      </c>
    </row>
    <row r="8" spans="2:14" x14ac:dyDescent="0.3">
      <c r="B8" s="55">
        <f t="shared" si="1"/>
        <v>6</v>
      </c>
      <c r="C8" s="56">
        <f t="shared" si="0"/>
        <v>2020</v>
      </c>
      <c r="D8" s="63">
        <v>261068</v>
      </c>
      <c r="E8" s="26">
        <f t="shared" si="2"/>
        <v>-0.13535891474408657</v>
      </c>
    </row>
    <row r="9" spans="2:14" x14ac:dyDescent="0.3">
      <c r="B9" s="55">
        <f t="shared" si="1"/>
        <v>7</v>
      </c>
      <c r="C9" s="56">
        <f t="shared" si="0"/>
        <v>2021</v>
      </c>
      <c r="D9" s="63">
        <v>249795</v>
      </c>
      <c r="E9" s="26">
        <f t="shared" si="2"/>
        <v>-4.3180320835950803E-2</v>
      </c>
    </row>
    <row r="10" spans="2:14" x14ac:dyDescent="0.3">
      <c r="B10" s="55">
        <f t="shared" si="1"/>
        <v>8</v>
      </c>
      <c r="C10" s="56">
        <f t="shared" si="0"/>
        <v>2022</v>
      </c>
      <c r="D10" s="63">
        <v>278454</v>
      </c>
      <c r="E10" s="26">
        <f t="shared" si="2"/>
        <v>0.11473007866450491</v>
      </c>
      <c r="G10" t="s">
        <v>177</v>
      </c>
    </row>
    <row r="11" spans="2:14" ht="15" thickBot="1" x14ac:dyDescent="0.35">
      <c r="B11" s="55">
        <f t="shared" si="1"/>
        <v>9</v>
      </c>
      <c r="C11" s="56">
        <f t="shared" si="0"/>
        <v>2023</v>
      </c>
      <c r="D11" s="63">
        <v>345967</v>
      </c>
      <c r="E11" s="26">
        <f t="shared" si="2"/>
        <v>0.24245656374122837</v>
      </c>
    </row>
    <row r="12" spans="2:14" x14ac:dyDescent="0.3">
      <c r="B12" s="55">
        <f t="shared" si="1"/>
        <v>10</v>
      </c>
      <c r="C12" s="56">
        <f t="shared" si="0"/>
        <v>2024</v>
      </c>
      <c r="D12" s="63">
        <v>434016</v>
      </c>
      <c r="E12" s="26">
        <f t="shared" si="2"/>
        <v>0.25450115184396194</v>
      </c>
      <c r="G12" s="60" t="s">
        <v>178</v>
      </c>
      <c r="H12" s="60"/>
    </row>
    <row r="13" spans="2:14" x14ac:dyDescent="0.3">
      <c r="B13" s="55">
        <f t="shared" si="1"/>
        <v>11</v>
      </c>
      <c r="C13" s="56">
        <f t="shared" si="0"/>
        <v>2025</v>
      </c>
      <c r="D13" s="63">
        <v>439695</v>
      </c>
      <c r="E13" s="26">
        <f t="shared" si="2"/>
        <v>1.3084771068347711E-2</v>
      </c>
      <c r="G13" t="s">
        <v>179</v>
      </c>
      <c r="H13">
        <v>0.7036846768611823</v>
      </c>
    </row>
    <row r="14" spans="2:14" x14ac:dyDescent="0.3">
      <c r="B14" s="55">
        <f t="shared" si="1"/>
        <v>12</v>
      </c>
      <c r="C14" s="56">
        <f t="shared" si="0"/>
        <v>2026</v>
      </c>
      <c r="D14" s="63">
        <v>335582</v>
      </c>
      <c r="E14" s="26">
        <f t="shared" si="2"/>
        <v>-0.23678458931759516</v>
      </c>
      <c r="G14" t="s">
        <v>180</v>
      </c>
      <c r="H14">
        <v>0.49517212444922659</v>
      </c>
      <c r="I14" s="61" t="s">
        <v>200</v>
      </c>
      <c r="J14" s="61"/>
      <c r="K14" s="61"/>
    </row>
    <row r="15" spans="2:14" x14ac:dyDescent="0.3">
      <c r="B15" s="55">
        <f t="shared" ref="B15:B18" si="3">B14+1</f>
        <v>13</v>
      </c>
      <c r="C15" s="57">
        <f t="shared" ref="C15:C18" si="4">C14+1</f>
        <v>2027</v>
      </c>
      <c r="D15" s="62">
        <f>FORECAST(B15,$D$3:$D$14,$B$3:$B$14)</f>
        <v>394658.62121212122</v>
      </c>
      <c r="E15" s="26">
        <f t="shared" si="2"/>
        <v>0.17604228239929798</v>
      </c>
      <c r="G15" t="s">
        <v>181</v>
      </c>
      <c r="H15">
        <v>0.44468933689414925</v>
      </c>
    </row>
    <row r="16" spans="2:14" x14ac:dyDescent="0.3">
      <c r="B16" s="55">
        <f t="shared" si="3"/>
        <v>14</v>
      </c>
      <c r="C16" s="57">
        <f t="shared" si="4"/>
        <v>2028</v>
      </c>
      <c r="D16" s="62">
        <f t="shared" ref="D16:D19" si="5">FORECAST(B16,$D$3:$D$14,$B$3:$B$14)</f>
        <v>407375.80652680655</v>
      </c>
      <c r="E16" s="26">
        <f t="shared" si="2"/>
        <v>3.2223254811023283E-2</v>
      </c>
      <c r="G16" t="s">
        <v>182</v>
      </c>
      <c r="H16">
        <v>48557.082904562776</v>
      </c>
    </row>
    <row r="17" spans="2:15" ht="15" thickBot="1" x14ac:dyDescent="0.35">
      <c r="B17" s="55">
        <f t="shared" si="3"/>
        <v>15</v>
      </c>
      <c r="C17" s="57">
        <f t="shared" si="4"/>
        <v>2029</v>
      </c>
      <c r="D17" s="62">
        <f t="shared" si="5"/>
        <v>420092.99184149189</v>
      </c>
      <c r="E17" s="26">
        <f t="shared" si="2"/>
        <v>3.1217330805943355E-2</v>
      </c>
      <c r="G17" s="58" t="s">
        <v>183</v>
      </c>
      <c r="H17" s="58">
        <v>12</v>
      </c>
    </row>
    <row r="18" spans="2:15" x14ac:dyDescent="0.3">
      <c r="B18" s="55">
        <f t="shared" si="3"/>
        <v>16</v>
      </c>
      <c r="C18" s="57">
        <f t="shared" si="4"/>
        <v>2030</v>
      </c>
      <c r="D18" s="62">
        <f t="shared" si="5"/>
        <v>432810.17715617723</v>
      </c>
      <c r="E18" s="26">
        <f t="shared" si="2"/>
        <v>3.027231008767628E-2</v>
      </c>
    </row>
    <row r="19" spans="2:15" ht="15" thickBot="1" x14ac:dyDescent="0.35">
      <c r="B19" s="55">
        <f t="shared" ref="B19" si="6">B18+1</f>
        <v>17</v>
      </c>
      <c r="C19" s="57">
        <f t="shared" ref="C19" si="7">C18+1</f>
        <v>2031</v>
      </c>
      <c r="D19" s="62">
        <f t="shared" si="5"/>
        <v>445527.36247086251</v>
      </c>
      <c r="E19" s="26">
        <f t="shared" si="2"/>
        <v>2.9382824124526863E-2</v>
      </c>
      <c r="G19" t="s">
        <v>184</v>
      </c>
    </row>
    <row r="20" spans="2:15" x14ac:dyDescent="0.3">
      <c r="G20" s="59"/>
      <c r="H20" s="59" t="s">
        <v>188</v>
      </c>
      <c r="I20" s="59" t="s">
        <v>189</v>
      </c>
      <c r="J20" s="59" t="s">
        <v>190</v>
      </c>
      <c r="K20" s="59" t="s">
        <v>191</v>
      </c>
      <c r="L20" s="59" t="s">
        <v>192</v>
      </c>
    </row>
    <row r="21" spans="2:15" x14ac:dyDescent="0.3">
      <c r="G21" t="s">
        <v>185</v>
      </c>
      <c r="H21">
        <v>1</v>
      </c>
      <c r="I21">
        <v>23126932732.910839</v>
      </c>
      <c r="J21">
        <v>23126932732.910839</v>
      </c>
      <c r="K21">
        <v>9.8087318159479153</v>
      </c>
      <c r="L21">
        <v>1.0656180340222358E-2</v>
      </c>
    </row>
    <row r="22" spans="2:15" x14ac:dyDescent="0.3">
      <c r="B22" s="55">
        <v>13</v>
      </c>
      <c r="C22" s="57">
        <v>2027</v>
      </c>
      <c r="D22" s="62">
        <v>394658.62121212122</v>
      </c>
      <c r="E22" s="26">
        <v>0.17604228239929798</v>
      </c>
      <c r="G22" t="s">
        <v>186</v>
      </c>
      <c r="H22">
        <v>10</v>
      </c>
      <c r="I22">
        <v>23577903002.005825</v>
      </c>
      <c r="J22">
        <v>2357790300.2005825</v>
      </c>
    </row>
    <row r="23" spans="2:15" ht="15" thickBot="1" x14ac:dyDescent="0.35">
      <c r="B23" s="55">
        <v>14</v>
      </c>
      <c r="C23" s="57">
        <v>2028</v>
      </c>
      <c r="D23" s="62">
        <v>407375.80652680655</v>
      </c>
      <c r="E23" s="26">
        <v>3.2223254811023283E-2</v>
      </c>
      <c r="G23" s="58" t="s">
        <v>26</v>
      </c>
      <c r="H23" s="58">
        <v>11</v>
      </c>
      <c r="I23" s="58">
        <v>46704835734.916664</v>
      </c>
      <c r="J23" s="58"/>
      <c r="K23" s="58"/>
      <c r="L23" s="58"/>
    </row>
    <row r="24" spans="2:15" ht="15" thickBot="1" x14ac:dyDescent="0.35">
      <c r="B24" s="55">
        <v>15</v>
      </c>
      <c r="C24" s="57">
        <v>2029</v>
      </c>
      <c r="D24" s="62">
        <v>420092.99184149189</v>
      </c>
      <c r="E24" s="26">
        <v>3.1217330805943355E-2</v>
      </c>
    </row>
    <row r="25" spans="2:15" x14ac:dyDescent="0.3">
      <c r="B25" s="55">
        <v>16</v>
      </c>
      <c r="C25" s="57">
        <v>2030</v>
      </c>
      <c r="D25" s="62">
        <v>432810.17715617723</v>
      </c>
      <c r="E25" s="26">
        <v>3.027231008767628E-2</v>
      </c>
      <c r="G25" s="59"/>
      <c r="H25" s="59" t="s">
        <v>193</v>
      </c>
      <c r="I25" s="59" t="s">
        <v>182</v>
      </c>
      <c r="J25" s="59" t="s">
        <v>194</v>
      </c>
      <c r="K25" s="59" t="s">
        <v>195</v>
      </c>
      <c r="L25" s="59" t="s">
        <v>196</v>
      </c>
      <c r="M25" s="59" t="s">
        <v>197</v>
      </c>
      <c r="N25" s="59" t="s">
        <v>198</v>
      </c>
      <c r="O25" s="59" t="s">
        <v>199</v>
      </c>
    </row>
    <row r="26" spans="2:15" x14ac:dyDescent="0.3">
      <c r="B26" s="55">
        <v>17</v>
      </c>
      <c r="C26" s="57">
        <v>2031</v>
      </c>
      <c r="D26" s="62">
        <v>445527.36247086251</v>
      </c>
      <c r="E26" s="26">
        <v>2.9382824124526863E-2</v>
      </c>
      <c r="G26" t="s">
        <v>187</v>
      </c>
      <c r="H26">
        <v>229335.2121212121</v>
      </c>
      <c r="I26">
        <v>29884.818661648504</v>
      </c>
      <c r="J26">
        <v>7.6739703431936945</v>
      </c>
      <c r="K26">
        <v>1.6920325912305692E-5</v>
      </c>
      <c r="L26">
        <v>162747.68657662859</v>
      </c>
      <c r="M26">
        <v>295922.7376657956</v>
      </c>
      <c r="N26">
        <v>162747.68657662859</v>
      </c>
      <c r="O26">
        <v>295922.7376657956</v>
      </c>
    </row>
    <row r="27" spans="2:15" ht="15" thickBot="1" x14ac:dyDescent="0.35">
      <c r="G27" s="58" t="s">
        <v>174</v>
      </c>
      <c r="H27" s="58">
        <v>12717.185314685319</v>
      </c>
      <c r="I27" s="58">
        <v>4060.5472608192522</v>
      </c>
      <c r="J27" s="58">
        <v>3.1318894961265671</v>
      </c>
      <c r="K27" s="58">
        <v>1.0656180340222346E-2</v>
      </c>
      <c r="L27" s="58">
        <v>3669.7222025274987</v>
      </c>
      <c r="M27" s="58">
        <v>21764.648426843138</v>
      </c>
      <c r="N27" s="58">
        <v>3669.7222025274987</v>
      </c>
      <c r="O27" s="58">
        <v>21764.648426843138</v>
      </c>
    </row>
  </sheetData>
  <mergeCells count="1">
    <mergeCell ref="B1:E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FFD4-C53D-46A8-B63B-4311C9D07FB8}">
  <dimension ref="B2:O20"/>
  <sheetViews>
    <sheetView showGridLines="0" workbookViewId="0">
      <selection activeCell="D5" sqref="D5"/>
    </sheetView>
  </sheetViews>
  <sheetFormatPr defaultRowHeight="14.4" x14ac:dyDescent="0.3"/>
  <cols>
    <col min="1" max="1" width="1.88671875" customWidth="1"/>
    <col min="2" max="2" width="11.44140625" customWidth="1"/>
    <col min="3" max="3" width="9.6640625" bestFit="1" customWidth="1"/>
    <col min="4" max="4" width="13.33203125" customWidth="1"/>
    <col min="5" max="5" width="16.5546875" customWidth="1"/>
    <col min="6" max="6" width="2.77734375" customWidth="1"/>
    <col min="7" max="7" width="11.109375" bestFit="1" customWidth="1"/>
    <col min="8" max="8" width="6.109375" bestFit="1" customWidth="1"/>
    <col min="9" max="9" width="12" customWidth="1"/>
    <col min="10" max="10" width="13.44140625" customWidth="1"/>
    <col min="11" max="11" width="2.77734375" customWidth="1"/>
    <col min="13" max="13" width="10.33203125" customWidth="1"/>
    <col min="14" max="14" width="9.88671875" customWidth="1"/>
    <col min="15" max="15" width="16.77734375" customWidth="1"/>
  </cols>
  <sheetData>
    <row r="2" spans="2:15" x14ac:dyDescent="0.3">
      <c r="B2" s="82" t="str">
        <f>'Data Sheet'!$B$1&amp;" - "&amp;'Data Sheet'!$A$17&amp;" Forecasting"</f>
        <v>WAAREE ENERGIES LTD - Sales Forecasting</v>
      </c>
      <c r="C2" s="82"/>
      <c r="D2" s="82"/>
      <c r="E2" s="82"/>
      <c r="G2" s="82" t="str">
        <f>'Data Sheet'!$B$1&amp;" - "&amp;HistoricalFS!B18&amp;" Forecasting"</f>
        <v>WAAREE ENERGIES LTD - EBITDA Forecasting</v>
      </c>
      <c r="H2" s="82"/>
      <c r="I2" s="82"/>
      <c r="J2" s="82"/>
      <c r="L2" s="82" t="str">
        <f>'Data Sheet'!$B$1&amp;" - "&amp;HistoricalFS!B43&amp;" Forecasting"</f>
        <v>WAAREE ENERGIES LTD - EPS Forecasting</v>
      </c>
      <c r="M2" s="82"/>
      <c r="N2" s="82"/>
      <c r="O2" s="82"/>
    </row>
    <row r="3" spans="2:15" x14ac:dyDescent="0.3">
      <c r="B3" s="53" t="s">
        <v>174</v>
      </c>
      <c r="C3" s="54" t="s">
        <v>175</v>
      </c>
      <c r="D3" s="66" t="s">
        <v>6</v>
      </c>
      <c r="E3" s="66" t="s">
        <v>22</v>
      </c>
      <c r="G3" s="53" t="s">
        <v>174</v>
      </c>
      <c r="H3" s="54" t="s">
        <v>175</v>
      </c>
      <c r="I3" s="66" t="s">
        <v>83</v>
      </c>
      <c r="J3" s="66" t="s">
        <v>139</v>
      </c>
      <c r="L3" s="53" t="s">
        <v>174</v>
      </c>
      <c r="M3" s="54" t="s">
        <v>175</v>
      </c>
      <c r="N3" s="66" t="s">
        <v>44</v>
      </c>
      <c r="O3" s="66" t="s">
        <v>203</v>
      </c>
    </row>
    <row r="4" spans="2:15" x14ac:dyDescent="0.3">
      <c r="B4" s="71">
        <v>1</v>
      </c>
      <c r="C4" s="72">
        <f>'Data Sheet'!$B$16</f>
        <v>42825</v>
      </c>
      <c r="D4" s="76">
        <f t="array" ref="D4:D13">TRANSPOSE('Data Sheet'!B17:K17)</f>
        <v>0</v>
      </c>
      <c r="E4" s="74"/>
      <c r="G4" s="55">
        <v>1</v>
      </c>
      <c r="H4" s="64">
        <f>'Data Sheet'!$B$16</f>
        <v>42825</v>
      </c>
      <c r="I4" s="62">
        <f t="array" ref="I4:I13">TRANSPOSE(HistoricalFS!C18:I18)</f>
        <v>92.769999999999726</v>
      </c>
      <c r="L4" s="55">
        <v>1</v>
      </c>
      <c r="M4" s="64">
        <f>'Data Sheet'!$B$16</f>
        <v>42825</v>
      </c>
      <c r="N4" s="62">
        <f t="array" ref="N4:N13">TRANSPOSE(HistoricalFS!C43:I43)</f>
        <v>1.9797057331303767</v>
      </c>
    </row>
    <row r="5" spans="2:15" x14ac:dyDescent="0.3">
      <c r="B5" s="71">
        <f>B4+1</f>
        <v>2</v>
      </c>
      <c r="C5" s="72">
        <f>C4+365</f>
        <v>43190</v>
      </c>
      <c r="D5" s="73">
        <v>0</v>
      </c>
      <c r="E5" s="75" t="e">
        <f>D5/D4-1</f>
        <v>#DIV/0!</v>
      </c>
      <c r="G5" s="55">
        <f>G4+1</f>
        <v>2</v>
      </c>
      <c r="H5" s="64">
        <f>H4+365</f>
        <v>43190</v>
      </c>
      <c r="I5" s="62">
        <v>84.830000000000013</v>
      </c>
      <c r="J5" s="26">
        <f>I5/I4-1</f>
        <v>-8.5588013366387217E-2</v>
      </c>
      <c r="L5" s="55">
        <f>L4+1</f>
        <v>2</v>
      </c>
      <c r="M5" s="64">
        <f>M4+365</f>
        <v>43190</v>
      </c>
      <c r="N5" s="62">
        <v>2.4444444444444446</v>
      </c>
      <c r="O5" s="26">
        <f>N5/N4-1</f>
        <v>0.23475140953358142</v>
      </c>
    </row>
    <row r="6" spans="2:15" x14ac:dyDescent="0.3">
      <c r="B6" s="71">
        <f t="shared" ref="B6:B18" si="0">B5+1</f>
        <v>3</v>
      </c>
      <c r="C6" s="72">
        <f t="shared" ref="C6:C18" si="1">C5+365</f>
        <v>43555</v>
      </c>
      <c r="D6" s="73">
        <v>0</v>
      </c>
      <c r="E6" s="75" t="e">
        <f t="shared" ref="E6:E18" si="2">D6/D5-1</f>
        <v>#DIV/0!</v>
      </c>
      <c r="G6" s="55">
        <f t="shared" ref="G6:G18" si="3">G5+1</f>
        <v>3</v>
      </c>
      <c r="H6" s="64">
        <f t="shared" ref="H6:H18" si="4">H5+365</f>
        <v>43555</v>
      </c>
      <c r="I6" s="62">
        <v>105.95000000000005</v>
      </c>
      <c r="J6" s="26">
        <f t="shared" ref="J6:J18" si="5">I6/I5-1</f>
        <v>0.24896852528586622</v>
      </c>
      <c r="L6" s="55">
        <f t="shared" ref="L6:L18" si="6">L5+1</f>
        <v>3</v>
      </c>
      <c r="M6" s="64">
        <f t="shared" ref="M6:M18" si="7">M5+365</f>
        <v>43555</v>
      </c>
      <c r="N6" s="62">
        <v>4.0416032470827012</v>
      </c>
      <c r="O6" s="26">
        <f t="shared" ref="O6:O18" si="8">N6/N5-1</f>
        <v>0.65338314653383223</v>
      </c>
    </row>
    <row r="7" spans="2:15" x14ac:dyDescent="0.3">
      <c r="B7" s="71">
        <f t="shared" si="0"/>
        <v>4</v>
      </c>
      <c r="C7" s="72">
        <f t="shared" si="1"/>
        <v>43920</v>
      </c>
      <c r="D7" s="73">
        <v>1995.78</v>
      </c>
      <c r="E7" s="75" t="e">
        <f t="shared" si="2"/>
        <v>#DIV/0!</v>
      </c>
      <c r="G7" s="55">
        <f t="shared" si="3"/>
        <v>4</v>
      </c>
      <c r="H7" s="64">
        <f t="shared" si="4"/>
        <v>43920</v>
      </c>
      <c r="I7" s="62">
        <v>835.80999999999983</v>
      </c>
      <c r="J7" s="26">
        <f t="shared" si="5"/>
        <v>6.8887210948560593</v>
      </c>
      <c r="L7" s="55">
        <f t="shared" si="6"/>
        <v>4</v>
      </c>
      <c r="M7" s="64">
        <f t="shared" si="7"/>
        <v>43920</v>
      </c>
      <c r="N7" s="62">
        <v>25.381532217148649</v>
      </c>
      <c r="O7" s="26">
        <f t="shared" si="8"/>
        <v>5.2800652774290686</v>
      </c>
    </row>
    <row r="8" spans="2:15" x14ac:dyDescent="0.3">
      <c r="B8" s="55">
        <f t="shared" si="0"/>
        <v>5</v>
      </c>
      <c r="C8" s="64">
        <f t="shared" si="1"/>
        <v>44285</v>
      </c>
      <c r="D8" s="62">
        <v>1952.78</v>
      </c>
      <c r="E8" s="26">
        <f t="shared" si="2"/>
        <v>-2.1545460922546611E-2</v>
      </c>
      <c r="G8" s="55">
        <f t="shared" si="3"/>
        <v>5</v>
      </c>
      <c r="H8" s="64">
        <f t="shared" si="4"/>
        <v>44285</v>
      </c>
      <c r="I8" s="62">
        <v>1574.4300000000003</v>
      </c>
      <c r="J8" s="26">
        <f t="shared" si="5"/>
        <v>0.88371759131860195</v>
      </c>
      <c r="L8" s="55">
        <f t="shared" si="6"/>
        <v>5</v>
      </c>
      <c r="M8" s="64">
        <f t="shared" si="7"/>
        <v>44285</v>
      </c>
      <c r="N8" s="62">
        <v>64.656519533231872</v>
      </c>
      <c r="O8" s="26">
        <f t="shared" si="8"/>
        <v>1.5473844124172955</v>
      </c>
    </row>
    <row r="9" spans="2:15" x14ac:dyDescent="0.3">
      <c r="B9" s="55">
        <f t="shared" si="0"/>
        <v>6</v>
      </c>
      <c r="C9" s="64">
        <f t="shared" si="1"/>
        <v>44650</v>
      </c>
      <c r="D9" s="62">
        <v>2854.27</v>
      </c>
      <c r="E9" s="26">
        <f t="shared" si="2"/>
        <v>0.46164442487120927</v>
      </c>
      <c r="G9" s="55">
        <f t="shared" si="3"/>
        <v>6</v>
      </c>
      <c r="H9" s="64">
        <f t="shared" si="4"/>
        <v>44650</v>
      </c>
      <c r="I9" s="62">
        <v>2721.6399999999985</v>
      </c>
      <c r="J9" s="26">
        <f t="shared" si="5"/>
        <v>0.72865100385536219</v>
      </c>
      <c r="L9" s="55">
        <f t="shared" si="6"/>
        <v>6</v>
      </c>
      <c r="M9" s="64">
        <f t="shared" si="7"/>
        <v>44650</v>
      </c>
      <c r="N9" s="62">
        <v>67.112077967281536</v>
      </c>
      <c r="O9" s="26">
        <f t="shared" si="8"/>
        <v>3.7978512480671967E-2</v>
      </c>
    </row>
    <row r="10" spans="2:15" x14ac:dyDescent="0.3">
      <c r="B10" s="55">
        <f t="shared" si="0"/>
        <v>7</v>
      </c>
      <c r="C10" s="64">
        <f t="shared" si="1"/>
        <v>45015</v>
      </c>
      <c r="D10" s="62">
        <v>6750.87</v>
      </c>
      <c r="E10" s="26">
        <f t="shared" si="2"/>
        <v>1.3651826911959977</v>
      </c>
      <c r="G10" s="55">
        <f t="shared" si="3"/>
        <v>7</v>
      </c>
      <c r="H10" s="64">
        <f t="shared" si="4"/>
        <v>45015</v>
      </c>
      <c r="I10" s="62">
        <v>5908.6400000000012</v>
      </c>
      <c r="J10" s="26">
        <f t="shared" si="5"/>
        <v>1.1709851413118577</v>
      </c>
      <c r="L10" s="55">
        <f t="shared" si="6"/>
        <v>7</v>
      </c>
      <c r="M10" s="64">
        <f t="shared" si="7"/>
        <v>45015</v>
      </c>
      <c r="N10" s="62">
        <v>135.00695168578383</v>
      </c>
      <c r="O10" s="26">
        <f t="shared" si="8"/>
        <v>1.0116640070599869</v>
      </c>
    </row>
    <row r="11" spans="2:15" x14ac:dyDescent="0.3">
      <c r="B11" s="55">
        <f t="shared" si="0"/>
        <v>8</v>
      </c>
      <c r="C11" s="64">
        <f t="shared" si="1"/>
        <v>45380</v>
      </c>
      <c r="D11" s="62">
        <v>11397.61</v>
      </c>
      <c r="E11" s="26">
        <f t="shared" si="2"/>
        <v>0.68831720948559227</v>
      </c>
      <c r="G11" s="55">
        <f t="shared" si="3"/>
        <v>8</v>
      </c>
      <c r="H11" s="64">
        <f t="shared" si="4"/>
        <v>45380</v>
      </c>
      <c r="I11" s="62" t="e">
        <v>#N/A</v>
      </c>
      <c r="J11" s="26" t="e">
        <f t="shared" si="5"/>
        <v>#N/A</v>
      </c>
      <c r="L11" s="55">
        <f t="shared" si="6"/>
        <v>8</v>
      </c>
      <c r="M11" s="64">
        <f t="shared" si="7"/>
        <v>45380</v>
      </c>
      <c r="N11" s="62" t="e">
        <v>#N/A</v>
      </c>
      <c r="O11" s="26" t="e">
        <f t="shared" si="8"/>
        <v>#N/A</v>
      </c>
    </row>
    <row r="12" spans="2:15" x14ac:dyDescent="0.3">
      <c r="B12" s="55">
        <f t="shared" si="0"/>
        <v>9</v>
      </c>
      <c r="C12" s="64">
        <f t="shared" si="1"/>
        <v>45745</v>
      </c>
      <c r="D12" s="62">
        <v>14444.5</v>
      </c>
      <c r="E12" s="26">
        <f t="shared" si="2"/>
        <v>0.26732709752307704</v>
      </c>
      <c r="G12" s="55">
        <f t="shared" si="3"/>
        <v>9</v>
      </c>
      <c r="H12" s="64">
        <f t="shared" si="4"/>
        <v>45745</v>
      </c>
      <c r="I12" s="62" t="e">
        <v>#N/A</v>
      </c>
      <c r="J12" s="26" t="e">
        <f t="shared" si="5"/>
        <v>#N/A</v>
      </c>
      <c r="L12" s="55">
        <f t="shared" si="6"/>
        <v>9</v>
      </c>
      <c r="M12" s="64">
        <f t="shared" si="7"/>
        <v>45745</v>
      </c>
      <c r="N12" s="62" t="e">
        <v>#N/A</v>
      </c>
      <c r="O12" s="26" t="e">
        <f t="shared" si="8"/>
        <v>#N/A</v>
      </c>
    </row>
    <row r="13" spans="2:15" x14ac:dyDescent="0.3">
      <c r="B13" s="55">
        <f t="shared" si="0"/>
        <v>10</v>
      </c>
      <c r="C13" s="64">
        <f t="shared" si="1"/>
        <v>46110</v>
      </c>
      <c r="D13" s="62">
        <v>26536.77</v>
      </c>
      <c r="E13" s="26">
        <f t="shared" si="2"/>
        <v>0.83715393402333071</v>
      </c>
      <c r="G13" s="55">
        <f t="shared" si="3"/>
        <v>10</v>
      </c>
      <c r="H13" s="64">
        <f t="shared" si="4"/>
        <v>46110</v>
      </c>
      <c r="I13" s="62" t="e">
        <v>#N/A</v>
      </c>
      <c r="J13" s="26" t="e">
        <f t="shared" si="5"/>
        <v>#N/A</v>
      </c>
      <c r="L13" s="55">
        <f t="shared" si="6"/>
        <v>10</v>
      </c>
      <c r="M13" s="64">
        <f t="shared" si="7"/>
        <v>46110</v>
      </c>
      <c r="N13" s="62" t="e">
        <v>#N/A</v>
      </c>
      <c r="O13" s="26" t="e">
        <f t="shared" si="8"/>
        <v>#N/A</v>
      </c>
    </row>
    <row r="14" spans="2:15" x14ac:dyDescent="0.3">
      <c r="B14" s="67">
        <f t="shared" si="0"/>
        <v>11</v>
      </c>
      <c r="C14" s="68">
        <f t="shared" si="1"/>
        <v>46475</v>
      </c>
      <c r="D14" s="69">
        <f>FORECAST(B14,$D$4:$D$13,$B$4:$B$13)</f>
        <v>20329.832666666669</v>
      </c>
      <c r="E14" s="70">
        <f t="shared" si="2"/>
        <v>-0.2338995037200583</v>
      </c>
      <c r="G14" s="67">
        <f t="shared" si="3"/>
        <v>11</v>
      </c>
      <c r="H14" s="68">
        <f t="shared" si="4"/>
        <v>46475</v>
      </c>
      <c r="I14" s="69" t="e">
        <f>FORECAST(G14,$I$4:$I$13,$G$4:$G$13)</f>
        <v>#N/A</v>
      </c>
      <c r="J14" s="70" t="e">
        <f t="shared" si="5"/>
        <v>#N/A</v>
      </c>
      <c r="L14" s="67">
        <f t="shared" si="6"/>
        <v>11</v>
      </c>
      <c r="M14" s="68">
        <f t="shared" si="7"/>
        <v>46475</v>
      </c>
      <c r="N14" s="69" t="e">
        <f>FORECAST(L14,$N$4:$N$13,$L$4:$L$13)</f>
        <v>#N/A</v>
      </c>
      <c r="O14" s="70" t="e">
        <f t="shared" si="8"/>
        <v>#N/A</v>
      </c>
    </row>
    <row r="15" spans="2:15" x14ac:dyDescent="0.3">
      <c r="B15" s="67">
        <f t="shared" si="0"/>
        <v>12</v>
      </c>
      <c r="C15" s="68">
        <f t="shared" si="1"/>
        <v>46840</v>
      </c>
      <c r="D15" s="69">
        <f t="shared" ref="D15:D18" si="9">FORECAST(B15,$D$4:$D$13,$B$4:$B$13)</f>
        <v>22827.391696969698</v>
      </c>
      <c r="E15" s="70">
        <f t="shared" si="2"/>
        <v>0.1228519226524718</v>
      </c>
      <c r="G15" s="67">
        <f t="shared" si="3"/>
        <v>12</v>
      </c>
      <c r="H15" s="68">
        <f t="shared" si="4"/>
        <v>46840</v>
      </c>
      <c r="I15" s="69" t="e">
        <f t="shared" ref="I15:I18" si="10">FORECAST(G15,$I$4:$I$13,$G$4:$G$13)</f>
        <v>#N/A</v>
      </c>
      <c r="J15" s="70" t="e">
        <f t="shared" si="5"/>
        <v>#N/A</v>
      </c>
      <c r="L15" s="67">
        <f t="shared" si="6"/>
        <v>12</v>
      </c>
      <c r="M15" s="68">
        <f t="shared" si="7"/>
        <v>46840</v>
      </c>
      <c r="N15" s="69" t="e">
        <f t="shared" ref="N15:N18" si="11">FORECAST(L15,$N$4:$N$13,$L$4:$L$13)</f>
        <v>#N/A</v>
      </c>
      <c r="O15" s="70" t="e">
        <f t="shared" si="8"/>
        <v>#N/A</v>
      </c>
    </row>
    <row r="16" spans="2:15" x14ac:dyDescent="0.3">
      <c r="B16" s="67">
        <f t="shared" si="0"/>
        <v>13</v>
      </c>
      <c r="C16" s="68">
        <f t="shared" si="1"/>
        <v>47205</v>
      </c>
      <c r="D16" s="69">
        <f t="shared" si="9"/>
        <v>25324.950727272731</v>
      </c>
      <c r="E16" s="70">
        <f t="shared" si="2"/>
        <v>0.1094106178865184</v>
      </c>
      <c r="G16" s="67">
        <f t="shared" si="3"/>
        <v>13</v>
      </c>
      <c r="H16" s="68">
        <f t="shared" si="4"/>
        <v>47205</v>
      </c>
      <c r="I16" s="69" t="e">
        <f t="shared" si="10"/>
        <v>#N/A</v>
      </c>
      <c r="J16" s="70" t="e">
        <f t="shared" si="5"/>
        <v>#N/A</v>
      </c>
      <c r="L16" s="67">
        <f t="shared" si="6"/>
        <v>13</v>
      </c>
      <c r="M16" s="68">
        <f t="shared" si="7"/>
        <v>47205</v>
      </c>
      <c r="N16" s="69" t="e">
        <f t="shared" si="11"/>
        <v>#N/A</v>
      </c>
      <c r="O16" s="70" t="e">
        <f t="shared" si="8"/>
        <v>#N/A</v>
      </c>
    </row>
    <row r="17" spans="2:15" x14ac:dyDescent="0.3">
      <c r="B17" s="67">
        <f t="shared" si="0"/>
        <v>14</v>
      </c>
      <c r="C17" s="68">
        <f t="shared" si="1"/>
        <v>47570</v>
      </c>
      <c r="D17" s="69">
        <f t="shared" si="9"/>
        <v>27822.509757575765</v>
      </c>
      <c r="E17" s="70">
        <f t="shared" si="2"/>
        <v>9.8620489224225061E-2</v>
      </c>
      <c r="G17" s="67">
        <f t="shared" si="3"/>
        <v>14</v>
      </c>
      <c r="H17" s="68">
        <f t="shared" si="4"/>
        <v>47570</v>
      </c>
      <c r="I17" s="69" t="e">
        <f t="shared" si="10"/>
        <v>#N/A</v>
      </c>
      <c r="J17" s="70" t="e">
        <f t="shared" si="5"/>
        <v>#N/A</v>
      </c>
      <c r="L17" s="67">
        <f t="shared" si="6"/>
        <v>14</v>
      </c>
      <c r="M17" s="68">
        <f t="shared" si="7"/>
        <v>47570</v>
      </c>
      <c r="N17" s="69" t="e">
        <f t="shared" si="11"/>
        <v>#N/A</v>
      </c>
      <c r="O17" s="70" t="e">
        <f t="shared" si="8"/>
        <v>#N/A</v>
      </c>
    </row>
    <row r="18" spans="2:15" x14ac:dyDescent="0.3">
      <c r="B18" s="67">
        <f t="shared" si="0"/>
        <v>15</v>
      </c>
      <c r="C18" s="68">
        <f t="shared" si="1"/>
        <v>47935</v>
      </c>
      <c r="D18" s="69">
        <f t="shared" si="9"/>
        <v>30320.06878787879</v>
      </c>
      <c r="E18" s="70">
        <f t="shared" si="2"/>
        <v>8.9767567773894497E-2</v>
      </c>
      <c r="G18" s="67">
        <f t="shared" si="3"/>
        <v>15</v>
      </c>
      <c r="H18" s="68">
        <f t="shared" si="4"/>
        <v>47935</v>
      </c>
      <c r="I18" s="69" t="e">
        <f t="shared" si="10"/>
        <v>#N/A</v>
      </c>
      <c r="J18" s="70" t="e">
        <f t="shared" si="5"/>
        <v>#N/A</v>
      </c>
      <c r="L18" s="67">
        <f t="shared" si="6"/>
        <v>15</v>
      </c>
      <c r="M18" s="68">
        <f t="shared" si="7"/>
        <v>47935</v>
      </c>
      <c r="N18" s="69" t="e">
        <f t="shared" si="11"/>
        <v>#N/A</v>
      </c>
      <c r="O18" s="70" t="e">
        <f t="shared" si="8"/>
        <v>#N/A</v>
      </c>
    </row>
    <row r="19" spans="2:15" x14ac:dyDescent="0.3">
      <c r="B19" s="55"/>
      <c r="C19" s="65"/>
    </row>
    <row r="20" spans="2:15" x14ac:dyDescent="0.3">
      <c r="B20" s="55"/>
      <c r="C20" s="65"/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Profit &amp; Loss</vt:lpstr>
      <vt:lpstr>Financials</vt:lpstr>
      <vt:lpstr>HistoricalFS</vt:lpstr>
      <vt:lpstr>Ratio Analysis</vt:lpstr>
      <vt:lpstr>CashFlow Data</vt:lpstr>
      <vt:lpstr>Data Sheet</vt:lpstr>
      <vt:lpstr>Forecast</vt:lpstr>
      <vt:lpstr>Sheet2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Sumedh Kagwade</dc:creator>
  <cp:lastModifiedBy>Sumedh Kagwade</cp:lastModifiedBy>
  <cp:lastPrinted>2026-06-04T11:15:38Z</cp:lastPrinted>
  <dcterms:created xsi:type="dcterms:W3CDTF">2012-08-17T09:55:37Z</dcterms:created>
  <dcterms:modified xsi:type="dcterms:W3CDTF">2026-08-15T11:38:19Z</dcterms:modified>
</cp:coreProperties>
</file>