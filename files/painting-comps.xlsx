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DH KAGWADE\Downloads\projects\"/>
    </mc:Choice>
  </mc:AlternateContent>
  <xr:revisionPtr revIDLastSave="0" documentId="13_ncr:1_{2158B054-788A-4F07-A634-7E6445FC55D1}" xr6:coauthVersionLast="47" xr6:coauthVersionMax="47" xr10:uidLastSave="{00000000-0000-0000-0000-000000000000}"/>
  <bookViews>
    <workbookView xWindow="-108" yWindow="-108" windowWidth="23256" windowHeight="12456" xr2:uid="{D3E3B820-91F4-40BF-92F3-788660D72518}"/>
  </bookViews>
  <sheets>
    <sheet name="Comps_Val" sheetId="4" r:id="rId1"/>
    <sheet name="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D15" i="4"/>
  <c r="E15" i="4"/>
  <c r="F15" i="4"/>
  <c r="G15" i="4"/>
  <c r="H15" i="4"/>
  <c r="J15" i="4"/>
  <c r="K15" i="4"/>
  <c r="L15" i="4"/>
  <c r="N15" i="4"/>
  <c r="O15" i="4"/>
  <c r="P15" i="4"/>
  <c r="B16" i="4"/>
  <c r="D16" i="4"/>
  <c r="E16" i="4"/>
  <c r="F16" i="4" s="1"/>
  <c r="G16" i="4"/>
  <c r="J16" i="4"/>
  <c r="K16" i="4"/>
  <c r="L16" i="4"/>
  <c r="B14" i="4"/>
  <c r="D14" i="4"/>
  <c r="E14" i="4"/>
  <c r="G14" i="4"/>
  <c r="J14" i="4"/>
  <c r="K14" i="4"/>
  <c r="L14" i="4"/>
  <c r="J10" i="4"/>
  <c r="K10" i="4"/>
  <c r="L10" i="4"/>
  <c r="J11" i="4"/>
  <c r="K11" i="4"/>
  <c r="L11" i="4"/>
  <c r="J12" i="4"/>
  <c r="K12" i="4"/>
  <c r="L12" i="4"/>
  <c r="J13" i="4"/>
  <c r="K13" i="4"/>
  <c r="L13" i="4"/>
  <c r="J17" i="4"/>
  <c r="K17" i="4"/>
  <c r="L17" i="4"/>
  <c r="J18" i="4"/>
  <c r="K18" i="4"/>
  <c r="L18" i="4"/>
  <c r="K9" i="4"/>
  <c r="L9" i="4"/>
  <c r="J9" i="4"/>
  <c r="J4" i="5"/>
  <c r="J5" i="5"/>
  <c r="J6" i="5"/>
  <c r="J7" i="5"/>
  <c r="J8" i="5"/>
  <c r="J9" i="5"/>
  <c r="J10" i="5"/>
  <c r="J11" i="5"/>
  <c r="J12" i="5"/>
  <c r="J3" i="5"/>
  <c r="I4" i="5"/>
  <c r="I5" i="5"/>
  <c r="I6" i="5"/>
  <c r="I7" i="5"/>
  <c r="I8" i="5"/>
  <c r="I9" i="5"/>
  <c r="I10" i="5"/>
  <c r="I11" i="5"/>
  <c r="I12" i="5"/>
  <c r="I3" i="5"/>
  <c r="G10" i="4"/>
  <c r="G11" i="4"/>
  <c r="G12" i="4"/>
  <c r="G13" i="4"/>
  <c r="G17" i="4"/>
  <c r="G18" i="4"/>
  <c r="G9" i="4"/>
  <c r="E10" i="4"/>
  <c r="E11" i="4"/>
  <c r="E12" i="4"/>
  <c r="E13" i="4"/>
  <c r="E17" i="4"/>
  <c r="E18" i="4"/>
  <c r="E9" i="4"/>
  <c r="D10" i="4"/>
  <c r="D11" i="4"/>
  <c r="D12" i="4"/>
  <c r="D13" i="4"/>
  <c r="D17" i="4"/>
  <c r="D18" i="4"/>
  <c r="D9" i="4"/>
  <c r="B10" i="4"/>
  <c r="B11" i="4"/>
  <c r="B12" i="4"/>
  <c r="B13" i="4"/>
  <c r="B17" i="4"/>
  <c r="B18" i="4"/>
  <c r="B9" i="4"/>
  <c r="F4" i="5"/>
  <c r="F5" i="5"/>
  <c r="F6" i="5"/>
  <c r="F7" i="5"/>
  <c r="F8" i="5"/>
  <c r="F9" i="5"/>
  <c r="F10" i="5"/>
  <c r="F11" i="5"/>
  <c r="F12" i="5"/>
  <c r="F3" i="5"/>
  <c r="P16" i="4" l="1"/>
  <c r="H16" i="4"/>
  <c r="N30" i="4"/>
  <c r="O30" i="4"/>
  <c r="F14" i="4"/>
  <c r="H14" i="4"/>
  <c r="P14" i="4"/>
  <c r="O32" i="4"/>
  <c r="P32" i="4"/>
  <c r="N32" i="4"/>
  <c r="F10" i="4"/>
  <c r="F11" i="4"/>
  <c r="F12" i="4"/>
  <c r="F13" i="4"/>
  <c r="F17" i="4"/>
  <c r="F18" i="4"/>
  <c r="F9" i="4"/>
  <c r="O16" i="4" l="1"/>
  <c r="N16" i="4"/>
  <c r="O14" i="4"/>
  <c r="N14" i="4"/>
  <c r="H10" i="4"/>
  <c r="P10" i="4"/>
  <c r="H11" i="4"/>
  <c r="P11" i="4"/>
  <c r="H12" i="4"/>
  <c r="P12" i="4"/>
  <c r="H13" i="4"/>
  <c r="P13" i="4"/>
  <c r="H17" i="4"/>
  <c r="P17" i="4"/>
  <c r="H18" i="4"/>
  <c r="P18" i="4"/>
  <c r="H9" i="4"/>
  <c r="P9" i="4"/>
  <c r="O10" i="4" l="1"/>
  <c r="N10" i="4"/>
  <c r="O11" i="4"/>
  <c r="N11" i="4"/>
  <c r="O12" i="4"/>
  <c r="N12" i="4"/>
  <c r="O13" i="4"/>
  <c r="N13" i="4"/>
  <c r="O17" i="4"/>
  <c r="N17" i="4"/>
  <c r="O18" i="4"/>
  <c r="N18" i="4"/>
  <c r="N9" i="4"/>
  <c r="O9" i="4"/>
  <c r="P25" i="4"/>
  <c r="P24" i="4"/>
  <c r="P23" i="4"/>
  <c r="P29" i="4" s="1"/>
  <c r="P31" i="4" s="1"/>
  <c r="P22" i="4"/>
  <c r="P21" i="4"/>
  <c r="P20" i="4"/>
  <c r="N20" i="4" l="1"/>
  <c r="N21" i="4"/>
  <c r="N22" i="4"/>
  <c r="N23" i="4"/>
  <c r="N29" i="4" s="1"/>
  <c r="N31" i="4" s="1"/>
  <c r="N34" i="4" s="1"/>
  <c r="N37" i="4" s="1"/>
  <c r="N24" i="4"/>
  <c r="N25" i="4"/>
  <c r="O25" i="4"/>
  <c r="O24" i="4"/>
  <c r="O23" i="4"/>
  <c r="O29" i="4" s="1"/>
  <c r="O31" i="4" s="1"/>
  <c r="O34" i="4" s="1"/>
  <c r="O37" i="4" s="1"/>
  <c r="O22" i="4"/>
  <c r="O21" i="4"/>
  <c r="O20" i="4"/>
  <c r="P34" i="4"/>
  <c r="P37" i="4" s="1"/>
</calcChain>
</file>

<file path=xl/sharedStrings.xml><?xml version="1.0" encoding="utf-8"?>
<sst xmlns="http://schemas.openxmlformats.org/spreadsheetml/2006/main" count="58" uniqueCount="52">
  <si>
    <t>Comparable Company Valuation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</si>
  <si>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</si>
  <si>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</si>
  <si>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</si>
  <si>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</si>
  <si>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</si>
  <si>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</si>
  <si>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</si>
  <si>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Market Data</t>
  </si>
  <si>
    <t>Revenue</t>
  </si>
  <si>
    <t xml:space="preserve">EBITDA 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</si>
  <si>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</si>
  <si>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</si>
  <si>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</si>
  <si>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</si>
  <si>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</si>
  <si>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</si>
  <si>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</si>
  <si>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</si>
  <si>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</si>
  <si>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</si>
  <si>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</si>
  <si>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Asian Paints</t>
  </si>
  <si>
    <t>Berger Paints</t>
  </si>
  <si>
    <t>Kansai Nerolac</t>
  </si>
  <si>
    <t>JSW Dulux</t>
  </si>
  <si>
    <t>Indigo Paints</t>
  </si>
  <si>
    <t>Sirca Paints</t>
  </si>
  <si>
    <t>Shalimar Paints</t>
  </si>
  <si>
    <t>Kamdhenu Venture</t>
  </si>
  <si>
    <t>Siddhika Coatins</t>
  </si>
  <si>
    <t>Retina Paints</t>
  </si>
  <si>
    <t>Market Cap</t>
  </si>
  <si>
    <t>EV</t>
  </si>
  <si>
    <t>EBITDA</t>
  </si>
  <si>
    <t>EV/Revenue</t>
  </si>
  <si>
    <t>EV/EBITDA</t>
  </si>
  <si>
    <t>P/E</t>
  </si>
  <si>
    <t>High</t>
  </si>
  <si>
    <t>75th Percentile</t>
  </si>
  <si>
    <t>Average</t>
  </si>
  <si>
    <t>Median</t>
  </si>
  <si>
    <t>25th Percentile</t>
  </si>
  <si>
    <t>Low</t>
  </si>
  <si>
    <t>Asian Paints Company Valuation</t>
  </si>
  <si>
    <t>Implied Enterprise Value</t>
  </si>
  <si>
    <t>Implied Market Value</t>
  </si>
  <si>
    <t>Implied Value Per Share</t>
  </si>
  <si>
    <t xml:space="preserve"> </t>
  </si>
  <si>
    <t>Source : Screener.in</t>
  </si>
  <si>
    <t>Amount in crores</t>
  </si>
  <si>
    <t>Sumedh Kagwade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</si>
</sst>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\x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0"/>
      <color theme="1"/>
      <name val="Calibri"/>
      <family val="2"/>
    </font>
    <font>
      <b/>
      <sz val="16"/>
      <color theme="4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3" borderId="0" xfId="0" applyFill="1"/>
    <xf numFmtId="0" fontId="4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2" fontId="0" fillId="0" borderId="0" xfId="0" applyNumberFormat="1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4" fontId="0" fillId="0" borderId="0" xfId="0" applyNumberFormat="1"/>
    <xf numFmtId="0" fontId="0" fillId="4" borderId="3" xfId="0" applyFill="1" applyBorder="1" applyAlignment="1">
      <alignment horizontal="left"/>
    </xf>
    <xf numFmtId="3" fontId="0" fillId="4" borderId="3" xfId="0" applyNumberFormat="1" applyFill="1" applyBorder="1"/>
    <xf numFmtId="4" fontId="0" fillId="4" borderId="3" xfId="0" applyNumberFormat="1" applyFill="1" applyBorder="1"/>
    <xf numFmtId="0" fontId="0" fillId="4" borderId="3" xfId="0" applyFill="1" applyBorder="1"/>
    <xf numFmtId="165" fontId="0" fillId="4" borderId="3" xfId="0" applyNumberFormat="1" applyFill="1" applyBorder="1"/>
    <xf numFmtId="0" fontId="0" fillId="0" borderId="3" xfId="0" applyBorder="1" applyAlignment="1">
      <alignment horizontal="left"/>
    </xf>
    <xf numFmtId="3" fontId="0" fillId="0" borderId="3" xfId="0" applyNumberFormat="1" applyBorder="1"/>
    <xf numFmtId="4" fontId="0" fillId="0" borderId="3" xfId="0" applyNumberFormat="1" applyBorder="1"/>
    <xf numFmtId="0" fontId="0" fillId="0" borderId="3" xfId="0" applyBorder="1"/>
    <xf numFmtId="165" fontId="0" fillId="0" borderId="3" xfId="0" applyNumberFormat="1" applyBorder="1"/>
    <xf numFmtId="0" fontId="3" fillId="3" borderId="1" xfId="0" applyFont="1" applyFill="1" applyBorder="1"/>
    <xf numFmtId="0" fontId="3" fillId="3" borderId="0" xfId="0" applyFont="1" applyFill="1" applyAlignment="1">
      <alignment horizontal="right"/>
    </xf>
    <xf numFmtId="0" fontId="0" fillId="2" borderId="4" xfId="0" applyFill="1" applyBorder="1"/>
    <xf numFmtId="165" fontId="0" fillId="2" borderId="4" xfId="0" applyNumberFormat="1" applyFill="1" applyBorder="1"/>
    <xf numFmtId="0" fontId="1" fillId="2" borderId="4" xfId="0" applyFont="1" applyFill="1" applyBorder="1"/>
    <xf numFmtId="165" fontId="1" fillId="2" borderId="4" xfId="0" applyNumberFormat="1" applyFont="1" applyFill="1" applyBorder="1"/>
    <xf numFmtId="164" fontId="1" fillId="2" borderId="4" xfId="0" applyNumberFormat="1" applyFont="1" applyFill="1" applyBorder="1"/>
    <xf numFmtId="164" fontId="1" fillId="0" borderId="0" xfId="0" applyNumberFormat="1" applyFont="1"/>
    <xf numFmtId="0" fontId="5" fillId="0" borderId="0" xfId="0" applyFont="1"/>
    <xf numFmtId="0" fontId="6" fillId="0" borderId="1" xfId="0" applyFont="1" applyBorder="1"/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94E-32B4-4B7E-8793-F4869DC248AC}">
  <dimension ref="B1:P37"/>
  <sheetViews>
    <sheetView showGridLines="0" tabSelected="1" zoomScaleNormal="100" zoomScaleSheetLayoutView="96" zoomScalePageLayoutView="127" workbookViewId="0">
      <selection activeCell="R12" sqref="R12"/>
    </sheetView>
  </sheetViews>
  <sheetFormatPr defaultRowHeight="14.4" x14ac:dyDescent="0.3"/>
  <cols>
    <col min="1" max="1" width="3.77734375" customWidth="1"/>
    <col min="2" max="2" width="15.6640625" customWidth="1"/>
    <col min="3" max="3" width="11" customWidth="1"/>
    <col min="4" max="4" width="8.77734375" customWidth="1"/>
    <col min="5" max="5" width="11.6640625" customWidth="1"/>
    <col min="6" max="6" width="9.5546875" customWidth="1"/>
    <col min="8" max="8" width="9.5546875" customWidth="1"/>
    <col min="9" max="9" width="3.21875" customWidth="1"/>
    <col min="12" max="12" width="10.77734375" bestFit="1" customWidth="1"/>
    <col min="13" max="13" width="2.6640625" customWidth="1"/>
    <col min="14" max="14" width="11.44140625" bestFit="1" customWidth="1"/>
    <col min="15" max="16" width="10.33203125" bestFit="1" customWidth="1"/>
  </cols>
  <sheetData>
    <row r="1" spans="2:16" x14ac:dyDescent="0.3">
      <c r="B1" t="s">
        <v>51</v>
      </c>
    </row>
    <row r="2" spans="2:16" x14ac:dyDescent="0.3">
      <c r="B2" s="30" t="s">
        <v>50</v>
      </c>
    </row>
    <row r="3" spans="2:16" ht="21" x14ac:dyDescent="0.4">
      <c r="B3" s="31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.6" customHeight="1" x14ac:dyDescent="0.3"/>
    <row r="5" spans="2:16" ht="16.2" customHeight="1" x14ac:dyDescent="0.3">
      <c r="B5" s="4"/>
      <c r="C5" s="4"/>
      <c r="D5" s="33" t="s">
        <v>8</v>
      </c>
      <c r="E5" s="33"/>
      <c r="F5" s="33"/>
      <c r="G5" s="33"/>
      <c r="H5" s="33"/>
      <c r="I5" s="4"/>
      <c r="J5" s="32" t="s">
        <v>13</v>
      </c>
      <c r="K5" s="32"/>
      <c r="L5" s="32"/>
      <c r="M5" s="7"/>
      <c r="N5" s="32" t="s">
        <v>12</v>
      </c>
      <c r="O5" s="32"/>
      <c r="P5" s="32"/>
    </row>
    <row r="6" spans="2:16" ht="28.8" x14ac:dyDescent="0.3">
      <c r="B6" s="6" t="s">
        <v>1</v>
      </c>
      <c r="C6" s="6" t="s">
        <v>2</v>
      </c>
      <c r="D6" s="7" t="s">
        <v>3</v>
      </c>
      <c r="E6" s="7" t="s">
        <v>4</v>
      </c>
      <c r="F6" s="7" t="s">
        <v>5</v>
      </c>
      <c r="G6" s="6" t="s">
        <v>6</v>
      </c>
      <c r="H6" s="7" t="s">
        <v>7</v>
      </c>
      <c r="I6" s="6"/>
      <c r="J6" s="23" t="s">
        <v>9</v>
      </c>
      <c r="K6" s="23" t="s">
        <v>10</v>
      </c>
      <c r="L6" s="23" t="s">
        <v>11</v>
      </c>
      <c r="M6" s="6"/>
      <c r="N6" s="23" t="s">
        <v>35</v>
      </c>
      <c r="O6" s="23" t="s">
        <v>36</v>
      </c>
      <c r="P6" s="23" t="s">
        <v>37</v>
      </c>
    </row>
    <row r="7" spans="2:16" s="8" customFormat="1" ht="4.2" customHeight="1" x14ac:dyDescent="0.3">
      <c r="B7" s="9"/>
      <c r="C7" s="9"/>
      <c r="D7" s="10"/>
      <c r="E7" s="10"/>
      <c r="F7" s="10"/>
      <c r="G7" s="9"/>
      <c r="H7" s="10"/>
      <c r="I7" s="9"/>
      <c r="J7" s="9"/>
      <c r="K7" s="9"/>
      <c r="L7" s="9"/>
      <c r="M7" s="9"/>
      <c r="N7" s="9"/>
      <c r="O7" s="9"/>
      <c r="P7" s="9"/>
    </row>
    <row r="8" spans="2:16" s="8" customFormat="1" ht="4.2" customHeight="1" x14ac:dyDescent="0.3">
      <c r="B8" s="9"/>
      <c r="C8" s="9"/>
      <c r="D8" s="10"/>
      <c r="E8" s="10"/>
      <c r="F8" s="10"/>
      <c r="G8" s="9"/>
      <c r="H8" s="10"/>
      <c r="I8" s="9"/>
      <c r="J8" s="9"/>
      <c r="K8" s="9"/>
      <c r="L8" s="9"/>
      <c r="M8" s="9"/>
      <c r="N8" s="9"/>
      <c r="O8" s="9"/>
      <c r="P8" s="9"/>
    </row>
    <row r="9" spans="2:16" x14ac:dyDescent="0.3">
      <c r="B9" s="12" t="str">
        <f>Data!C3</f>
        <v>Asian Paints</v>
      </c>
      <c r="C9" s="12"/>
      <c r="D9" s="13">
        <f>Data!D3</f>
        <v>2696.3</v>
      </c>
      <c r="E9" s="14">
        <f>Data!E3</f>
        <v>95.92</v>
      </c>
      <c r="F9" s="13">
        <f>E9*D9</f>
        <v>258629.09600000002</v>
      </c>
      <c r="G9" s="13">
        <f>Data!I3</f>
        <v>2855.25</v>
      </c>
      <c r="H9" s="13">
        <f>G9+F9</f>
        <v>261484.34600000002</v>
      </c>
      <c r="I9" s="13"/>
      <c r="J9" s="13">
        <f>Data!K3</f>
        <v>37186.93</v>
      </c>
      <c r="K9" s="13">
        <f>Data!L3</f>
        <v>8181.1246000000001</v>
      </c>
      <c r="L9" s="13">
        <f>Data!M3</f>
        <v>4837.09</v>
      </c>
      <c r="M9" s="15"/>
      <c r="N9" s="16">
        <f t="shared" ref="N9:N18" si="0">H9/J9</f>
        <v>7.0316196039845185</v>
      </c>
      <c r="O9" s="16">
        <f t="shared" ref="O9:O18" si="1">H9/K9</f>
        <v>31.96190729083872</v>
      </c>
      <c r="P9" s="16">
        <f t="shared" ref="P9:P18" si="2">F9/L9</f>
        <v>53.467910665296699</v>
      </c>
    </row>
    <row r="10" spans="2:16" x14ac:dyDescent="0.3">
      <c r="B10" s="17" t="str">
        <f>Data!C4</f>
        <v>Berger Paints</v>
      </c>
      <c r="C10" s="17"/>
      <c r="D10" s="18">
        <f>Data!D4</f>
        <v>545.1</v>
      </c>
      <c r="E10" s="19">
        <f>Data!E4</f>
        <v>116.6</v>
      </c>
      <c r="F10" s="18">
        <f t="shared" ref="F10:F18" si="3">E10*D10</f>
        <v>63558.659999999996</v>
      </c>
      <c r="G10" s="18">
        <f>Data!I4</f>
        <v>329.82</v>
      </c>
      <c r="H10" s="18">
        <f t="shared" ref="H10:H18" si="4">G10+F10</f>
        <v>63888.479999999996</v>
      </c>
      <c r="I10" s="18"/>
      <c r="J10" s="18">
        <f>Data!K4</f>
        <v>12263.24</v>
      </c>
      <c r="K10" s="18">
        <f>Data!L4</f>
        <v>2084.7508000000003</v>
      </c>
      <c r="L10" s="18">
        <f>Data!M4</f>
        <v>1217.99</v>
      </c>
      <c r="M10" s="20"/>
      <c r="N10" s="21">
        <f t="shared" si="0"/>
        <v>5.2097553338269496</v>
      </c>
      <c r="O10" s="21">
        <f t="shared" si="1"/>
        <v>30.645619610746756</v>
      </c>
      <c r="P10" s="21">
        <f t="shared" si="2"/>
        <v>52.18323631556909</v>
      </c>
    </row>
    <row r="11" spans="2:16" x14ac:dyDescent="0.3">
      <c r="B11" s="17" t="str">
        <f>Data!C5</f>
        <v>Kansai Nerolac</v>
      </c>
      <c r="C11" s="17"/>
      <c r="D11" s="18">
        <f>Data!D5</f>
        <v>204.75</v>
      </c>
      <c r="E11" s="19">
        <f>Data!E5</f>
        <v>80.88</v>
      </c>
      <c r="F11" s="18">
        <f t="shared" si="3"/>
        <v>16560.18</v>
      </c>
      <c r="G11" s="18">
        <f>Data!I5</f>
        <v>76.950000000000017</v>
      </c>
      <c r="H11" s="18">
        <f t="shared" si="4"/>
        <v>16637.13</v>
      </c>
      <c r="I11" s="18"/>
      <c r="J11" s="18">
        <f>Data!K5</f>
        <v>8263.4699999999993</v>
      </c>
      <c r="K11" s="18">
        <f>Data!L5</f>
        <v>1156.8858</v>
      </c>
      <c r="L11" s="18">
        <f>Data!M5</f>
        <v>588.66</v>
      </c>
      <c r="M11" s="20"/>
      <c r="N11" s="21">
        <f t="shared" si="0"/>
        <v>2.0133345918845236</v>
      </c>
      <c r="O11" s="21">
        <f t="shared" si="1"/>
        <v>14.380961370603737</v>
      </c>
      <c r="P11" s="21">
        <f t="shared" si="2"/>
        <v>28.131994699826727</v>
      </c>
    </row>
    <row r="12" spans="2:16" x14ac:dyDescent="0.3">
      <c r="B12" s="17" t="str">
        <f>Data!C6</f>
        <v>JSW Dulux</v>
      </c>
      <c r="C12" s="17"/>
      <c r="D12" s="18">
        <f>Data!D6</f>
        <v>3167.4</v>
      </c>
      <c r="E12" s="19">
        <f>Data!E6</f>
        <v>4.55</v>
      </c>
      <c r="F12" s="18">
        <f t="shared" si="3"/>
        <v>14411.67</v>
      </c>
      <c r="G12" s="18">
        <f>Data!I6</f>
        <v>-244.6</v>
      </c>
      <c r="H12" s="18">
        <f t="shared" si="4"/>
        <v>14167.07</v>
      </c>
      <c r="I12" s="18"/>
      <c r="J12" s="18">
        <f>Data!K6</f>
        <v>3577.6</v>
      </c>
      <c r="K12" s="18">
        <f>Data!L6</f>
        <v>608.19200000000001</v>
      </c>
      <c r="L12" s="18">
        <f>Data!M6</f>
        <v>1962.5</v>
      </c>
      <c r="M12" s="20"/>
      <c r="N12" s="21">
        <f t="shared" si="0"/>
        <v>3.9599368291592127</v>
      </c>
      <c r="O12" s="21">
        <f t="shared" si="1"/>
        <v>23.293746053877722</v>
      </c>
      <c r="P12" s="21">
        <f t="shared" si="2"/>
        <v>7.3435261146496815</v>
      </c>
    </row>
    <row r="13" spans="2:16" x14ac:dyDescent="0.3">
      <c r="B13" s="17" t="str">
        <f>Data!C7</f>
        <v>Indigo Paints</v>
      </c>
      <c r="C13" s="17"/>
      <c r="D13" s="18">
        <f>Data!D7</f>
        <v>1148.7</v>
      </c>
      <c r="E13" s="19">
        <f>Data!E7</f>
        <v>4.7699999999999996</v>
      </c>
      <c r="F13" s="18">
        <f t="shared" si="3"/>
        <v>5479.299</v>
      </c>
      <c r="G13" s="18">
        <f>Data!I7</f>
        <v>-10.18</v>
      </c>
      <c r="H13" s="18">
        <f t="shared" si="4"/>
        <v>5469.1189999999997</v>
      </c>
      <c r="I13" s="18"/>
      <c r="J13" s="18">
        <f>Data!K7</f>
        <v>1385.31</v>
      </c>
      <c r="K13" s="18">
        <f>Data!L7</f>
        <v>277.06200000000001</v>
      </c>
      <c r="L13" s="18">
        <f>Data!M7</f>
        <v>161.4</v>
      </c>
      <c r="M13" s="20"/>
      <c r="N13" s="21">
        <f t="shared" si="0"/>
        <v>3.9479387285156391</v>
      </c>
      <c r="O13" s="21">
        <f t="shared" si="1"/>
        <v>19.739693642578192</v>
      </c>
      <c r="P13" s="21">
        <f t="shared" si="2"/>
        <v>33.9485687732342</v>
      </c>
    </row>
    <row r="14" spans="2:16" x14ac:dyDescent="0.3">
      <c r="B14" s="17" t="str">
        <f>Data!C8</f>
        <v>Sirca Paints</v>
      </c>
      <c r="C14" s="17"/>
      <c r="D14" s="18">
        <f>Data!D8</f>
        <v>426.9</v>
      </c>
      <c r="E14" s="19">
        <f>Data!E8</f>
        <v>5.68</v>
      </c>
      <c r="F14" s="18">
        <f t="shared" si="3"/>
        <v>2424.7919999999999</v>
      </c>
      <c r="G14" s="18">
        <f>Data!I8</f>
        <v>-25.659999999999997</v>
      </c>
      <c r="H14" s="18">
        <f t="shared" si="4"/>
        <v>2399.1320000000001</v>
      </c>
      <c r="I14" s="18"/>
      <c r="J14" s="18">
        <f>Data!K8</f>
        <v>508.26</v>
      </c>
      <c r="K14" s="18">
        <f>Data!L8</f>
        <v>106.7346</v>
      </c>
      <c r="L14" s="18">
        <f>Data!M8</f>
        <v>67.05</v>
      </c>
      <c r="M14" s="20"/>
      <c r="N14" s="21">
        <f t="shared" si="0"/>
        <v>4.7202848935584152</v>
      </c>
      <c r="O14" s="21">
        <f t="shared" si="1"/>
        <v>22.477547112182929</v>
      </c>
      <c r="P14" s="21">
        <f t="shared" si="2"/>
        <v>36.16393736017897</v>
      </c>
    </row>
    <row r="15" spans="2:16" x14ac:dyDescent="0.3">
      <c r="B15" s="17" t="str">
        <f>Data!C9</f>
        <v>Shalimar Paints</v>
      </c>
      <c r="C15" s="17"/>
      <c r="D15" s="18">
        <f>Data!D9</f>
        <v>91.39</v>
      </c>
      <c r="E15" s="19">
        <f>Data!E9</f>
        <v>8.3699999999999992</v>
      </c>
      <c r="F15" s="18">
        <f t="shared" si="3"/>
        <v>764.93429999999989</v>
      </c>
      <c r="G15" s="18">
        <f>Data!I9</f>
        <v>117.66999999999999</v>
      </c>
      <c r="H15" s="18">
        <f t="shared" si="4"/>
        <v>882.60429999999985</v>
      </c>
      <c r="I15" s="18"/>
      <c r="J15" s="18">
        <f>Data!K9</f>
        <v>558.79</v>
      </c>
      <c r="K15" s="18">
        <f>Data!L9</f>
        <v>-22.351599999999998</v>
      </c>
      <c r="L15" s="18">
        <f>Data!M9</f>
        <v>-69.44</v>
      </c>
      <c r="M15" s="20"/>
      <c r="N15" s="21">
        <f t="shared" si="0"/>
        <v>1.5794919379373287</v>
      </c>
      <c r="O15" s="21">
        <f t="shared" si="1"/>
        <v>-39.487298448433222</v>
      </c>
      <c r="P15" s="21">
        <f t="shared" si="2"/>
        <v>-11.015758928571428</v>
      </c>
    </row>
    <row r="16" spans="2:16" x14ac:dyDescent="0.3">
      <c r="B16" s="17" t="str">
        <f>Data!C10</f>
        <v>Kamdhenu Venture</v>
      </c>
      <c r="C16" s="17"/>
      <c r="D16" s="18">
        <f>Data!D10</f>
        <v>4.54</v>
      </c>
      <c r="E16" s="19">
        <f>Data!E10</f>
        <v>32.9</v>
      </c>
      <c r="F16" s="18">
        <f>E16*D16</f>
        <v>149.36599999999999</v>
      </c>
      <c r="G16" s="18">
        <f>Data!I10</f>
        <v>14.350000000000001</v>
      </c>
      <c r="H16" s="18">
        <f t="shared" si="4"/>
        <v>163.71599999999998</v>
      </c>
      <c r="I16" s="18"/>
      <c r="J16" s="18">
        <f>Data!K10</f>
        <v>241.31</v>
      </c>
      <c r="K16" s="18">
        <f>Data!L10</f>
        <v>4.8262</v>
      </c>
      <c r="L16" s="18">
        <f>Data!M10</f>
        <v>-5.08</v>
      </c>
      <c r="M16" s="20"/>
      <c r="N16" s="21">
        <f t="shared" si="0"/>
        <v>0.67844681115577465</v>
      </c>
      <c r="O16" s="21">
        <f t="shared" si="1"/>
        <v>33.922340557788729</v>
      </c>
      <c r="P16" s="21">
        <f t="shared" si="2"/>
        <v>-29.402755905511807</v>
      </c>
    </row>
    <row r="17" spans="2:16" x14ac:dyDescent="0.3">
      <c r="B17" s="17" t="str">
        <f>Data!C11</f>
        <v>Siddhika Coatins</v>
      </c>
      <c r="C17" s="17"/>
      <c r="D17" s="18">
        <f>Data!D11</f>
        <v>215.05</v>
      </c>
      <c r="E17" s="19">
        <f>Data!E11</f>
        <v>0.62</v>
      </c>
      <c r="F17" s="18">
        <f t="shared" si="3"/>
        <v>133.33100000000002</v>
      </c>
      <c r="G17" s="18">
        <f>Data!I11</f>
        <v>-8.73</v>
      </c>
      <c r="H17" s="18">
        <f t="shared" si="4"/>
        <v>124.60100000000001</v>
      </c>
      <c r="I17" s="18"/>
      <c r="J17" s="18">
        <f>Data!K11</f>
        <v>54.9</v>
      </c>
      <c r="K17" s="18">
        <f>Data!L11</f>
        <v>13.175999999999998</v>
      </c>
      <c r="L17" s="18">
        <f>Data!M11</f>
        <v>9.86</v>
      </c>
      <c r="M17" s="20"/>
      <c r="N17" s="21">
        <f t="shared" si="0"/>
        <v>2.2695992714025506</v>
      </c>
      <c r="O17" s="21">
        <f t="shared" si="1"/>
        <v>9.4566636308439609</v>
      </c>
      <c r="P17" s="21">
        <f t="shared" si="2"/>
        <v>13.522413793103452</v>
      </c>
    </row>
    <row r="18" spans="2:16" x14ac:dyDescent="0.3">
      <c r="B18" s="17" t="str">
        <f>Data!C12</f>
        <v>Retina Paints</v>
      </c>
      <c r="C18" s="17"/>
      <c r="D18" s="18">
        <f>Data!D12</f>
        <v>40.56</v>
      </c>
      <c r="E18" s="19">
        <f>Data!E12</f>
        <v>1.53</v>
      </c>
      <c r="F18" s="18">
        <f t="shared" si="3"/>
        <v>62.056800000000003</v>
      </c>
      <c r="G18" s="18">
        <f>Data!I12</f>
        <v>17.5</v>
      </c>
      <c r="H18" s="18">
        <f t="shared" si="4"/>
        <v>79.55680000000001</v>
      </c>
      <c r="I18" s="18"/>
      <c r="J18" s="18">
        <f>Data!K12</f>
        <v>23.74</v>
      </c>
      <c r="K18" s="18">
        <f>Data!L12</f>
        <v>2.8487999999999998</v>
      </c>
      <c r="L18" s="18">
        <f>Data!M12</f>
        <v>0.64</v>
      </c>
      <c r="M18" s="20"/>
      <c r="N18" s="21">
        <f t="shared" si="0"/>
        <v>3.3511710193765802</v>
      </c>
      <c r="O18" s="21">
        <f t="shared" si="1"/>
        <v>27.926425161471503</v>
      </c>
      <c r="P18" s="21">
        <f t="shared" si="2"/>
        <v>96.963750000000005</v>
      </c>
    </row>
    <row r="19" spans="2:16" ht="6" customHeight="1" x14ac:dyDescent="0.3"/>
    <row r="20" spans="2:16" x14ac:dyDescent="0.3">
      <c r="B20" s="24" t="s">
        <v>38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>
        <f>MAX(N9:N18)</f>
        <v>7.0316196039845185</v>
      </c>
      <c r="O20" s="25">
        <f>MAX(O9:O18)</f>
        <v>33.922340557788729</v>
      </c>
      <c r="P20" s="25">
        <f>MAX(P9:P18)</f>
        <v>96.963750000000005</v>
      </c>
    </row>
    <row r="21" spans="2:16" x14ac:dyDescent="0.3">
      <c r="B21" s="24" t="s">
        <v>39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>
        <f>QUARTILE(N9:N18,3)</f>
        <v>4.5301978774586145</v>
      </c>
      <c r="O21" s="25">
        <f>QUARTILE(O9:O18,3)</f>
        <v>29.965820998427944</v>
      </c>
      <c r="P21" s="25">
        <f>QUARTILE(P9:P18,3)</f>
        <v>48.178411576721558</v>
      </c>
    </row>
    <row r="22" spans="2:16" x14ac:dyDescent="0.3">
      <c r="B22" s="26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>
        <f>AVERAGE(N9:N18)</f>
        <v>3.476157902080149</v>
      </c>
      <c r="O22" s="27">
        <f>AVERAGE(O9:O18)</f>
        <v>17.431760598249902</v>
      </c>
      <c r="P22" s="27">
        <f>AVERAGE(P9:P18)</f>
        <v>28.130682288777564</v>
      </c>
    </row>
    <row r="23" spans="2:16" x14ac:dyDescent="0.3">
      <c r="B23" s="26" t="s">
        <v>41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>
        <f>MEDIAN(N9:N18)</f>
        <v>3.6495548739461094</v>
      </c>
      <c r="O23" s="27">
        <f>MEDIAN(O9:O18)</f>
        <v>22.885646583030326</v>
      </c>
      <c r="P23" s="27">
        <f>MEDIAN(P9:P18)</f>
        <v>31.040281736530464</v>
      </c>
    </row>
    <row r="24" spans="2:16" x14ac:dyDescent="0.3">
      <c r="B24" s="24" t="s">
        <v>42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>QUARTILE(N9:N18,1)</f>
        <v>2.0774007617640304</v>
      </c>
      <c r="O24" s="25">
        <f>QUARTILE(O9:O18,1)</f>
        <v>15.720644438597351</v>
      </c>
      <c r="P24" s="25">
        <f>QUARTILE(P9:P18,1)</f>
        <v>8.8882480342631247</v>
      </c>
    </row>
    <row r="25" spans="2:16" x14ac:dyDescent="0.3">
      <c r="B25" s="24" t="s">
        <v>43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>
        <f>MIN(N9:N18)</f>
        <v>0.67844681115577465</v>
      </c>
      <c r="O25" s="25">
        <f>MIN(O9:O18)</f>
        <v>-39.487298448433222</v>
      </c>
      <c r="P25" s="25">
        <f>MIN(P9:P18)</f>
        <v>-29.402755905511807</v>
      </c>
    </row>
    <row r="27" spans="2:16" x14ac:dyDescent="0.3">
      <c r="B27" s="22" t="s">
        <v>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3" t="s">
        <v>35</v>
      </c>
      <c r="O27" s="23" t="s">
        <v>36</v>
      </c>
      <c r="P27" s="23" t="s">
        <v>37</v>
      </c>
    </row>
    <row r="28" spans="2:16" ht="4.2" customHeight="1" x14ac:dyDescent="0.3"/>
    <row r="29" spans="2:16" x14ac:dyDescent="0.3">
      <c r="B29" s="20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8">
        <f>N23*J9</f>
        <v>135715.7416285928</v>
      </c>
      <c r="O29" s="18">
        <f>O23*K9</f>
        <v>187230.32624733535</v>
      </c>
      <c r="P29" s="18">
        <f>P23*L9</f>
        <v>150144.63638495415</v>
      </c>
    </row>
    <row r="30" spans="2:16" x14ac:dyDescent="0.3">
      <c r="B30" s="20" t="s">
        <v>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8">
        <f>$G$9</f>
        <v>2855.25</v>
      </c>
      <c r="O30" s="18">
        <f t="shared" ref="O30" si="5">$G$9</f>
        <v>2855.25</v>
      </c>
      <c r="P30" s="18"/>
    </row>
    <row r="31" spans="2:16" x14ac:dyDescent="0.3">
      <c r="B31" s="20" t="s">
        <v>46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8">
        <f>N29-N30</f>
        <v>132860.4916285928</v>
      </c>
      <c r="O31" s="18">
        <f>O29-O30</f>
        <v>184375.07624733535</v>
      </c>
      <c r="P31" s="18">
        <f>P29-0</f>
        <v>150144.63638495415</v>
      </c>
    </row>
    <row r="32" spans="2:16" x14ac:dyDescent="0.3">
      <c r="B32" s="20" t="s">
        <v>4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9">
        <f>$E$9</f>
        <v>95.92</v>
      </c>
      <c r="O32" s="19">
        <f t="shared" ref="O32:P32" si="6">$E$9</f>
        <v>95.92</v>
      </c>
      <c r="P32" s="19">
        <f t="shared" si="6"/>
        <v>95.92</v>
      </c>
    </row>
    <row r="33" spans="2:16" ht="4.2" customHeight="1" x14ac:dyDescent="0.3">
      <c r="N33" s="11"/>
      <c r="O33" s="11"/>
      <c r="P33" s="11"/>
    </row>
    <row r="34" spans="2:16" x14ac:dyDescent="0.3">
      <c r="B34" s="26" t="s">
        <v>47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8">
        <f>N31/N32</f>
        <v>1385.1177192305338</v>
      </c>
      <c r="O34" s="28">
        <f t="shared" ref="O34:P34" si="7">O31/O32</f>
        <v>1922.1755238462817</v>
      </c>
      <c r="P34" s="28">
        <f t="shared" si="7"/>
        <v>1565.3110548890131</v>
      </c>
    </row>
    <row r="35" spans="2:16" ht="3.6" customHeight="1" x14ac:dyDescent="0.3">
      <c r="B35" s="1"/>
      <c r="N35" s="29"/>
      <c r="O35" s="29"/>
      <c r="P35" s="29"/>
    </row>
    <row r="36" spans="2:16" x14ac:dyDescent="0.3">
      <c r="B36" s="2" t="s">
        <v>49</v>
      </c>
    </row>
    <row r="37" spans="2:16" x14ac:dyDescent="0.3">
      <c r="L37" t="s">
        <v>48</v>
      </c>
      <c r="N37" t="str">
        <f>IF(N34&gt;$D$9,"Undervalued","Overvalued")</f>
        <v>Overvalued</v>
      </c>
      <c r="O37" t="str">
        <f t="shared" ref="O37:P37" si="8">IF(O34&gt;$D$9,"Undervalued","Overvalued")</f>
        <v>Overvalued</v>
      </c>
      <c r="P37" t="str">
        <f t="shared" si="8"/>
        <v>Overvalued</v>
      </c>
    </row>
  </sheetData>
  <mergeCells count="3">
    <mergeCell ref="J5:L5"/>
    <mergeCell ref="N5:P5"/>
    <mergeCell ref="D5:H5"/>
  </mergeCells>
  <pageMargins left="0.7" right="0.7" top="0.75" bottom="0.75" header="0.3" footer="0.3"/>
  <pageSetup scale="80" orientation="landscape" r:id="rId1"/>
  <headerFoot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5845-99F3-4C0D-8B96-B809D988D1B5}">
  <dimension ref="B2:M12"/>
  <sheetViews>
    <sheetView showGridLines="0" workbookViewId="0">
      <selection activeCell="C14" sqref="C14"/>
    </sheetView>
  </sheetViews>
  <sheetFormatPr defaultRowHeight="14.4" x14ac:dyDescent="0.3"/>
  <cols>
    <col min="2" max="2" width="5.44140625" bestFit="1" customWidth="1"/>
    <col min="3" max="3" width="16.5546875" bestFit="1" customWidth="1"/>
    <col min="4" max="4" width="7.6640625" bestFit="1" customWidth="1"/>
    <col min="5" max="5" width="15.6640625" bestFit="1" customWidth="1"/>
    <col min="6" max="6" width="15.6640625" customWidth="1"/>
    <col min="7" max="7" width="10.109375" bestFit="1" customWidth="1"/>
    <col min="8" max="8" width="13.6640625" bestFit="1" customWidth="1"/>
    <col min="9" max="10" width="13.6640625" customWidth="1"/>
    <col min="11" max="11" width="10.33203125" bestFit="1" customWidth="1"/>
    <col min="12" max="12" width="13.21875" customWidth="1"/>
    <col min="13" max="13" width="12.6640625" bestFit="1" customWidth="1"/>
  </cols>
  <sheetData>
    <row r="2" spans="2:13" x14ac:dyDescent="0.3">
      <c r="B2" t="s">
        <v>14</v>
      </c>
      <c r="C2" t="s">
        <v>15</v>
      </c>
      <c r="D2" t="s">
        <v>16</v>
      </c>
      <c r="E2" t="s">
        <v>17</v>
      </c>
      <c r="F2" t="s">
        <v>32</v>
      </c>
      <c r="G2" t="s">
        <v>18</v>
      </c>
      <c r="H2" t="s">
        <v>19</v>
      </c>
      <c r="I2" t="s">
        <v>6</v>
      </c>
      <c r="J2" t="s">
        <v>33</v>
      </c>
      <c r="K2" t="s">
        <v>20</v>
      </c>
      <c r="L2" t="s">
        <v>34</v>
      </c>
      <c r="M2" t="s">
        <v>21</v>
      </c>
    </row>
    <row r="3" spans="2:13" x14ac:dyDescent="0.3">
      <c r="B3">
        <v>1</v>
      </c>
      <c r="C3" t="s">
        <v>22</v>
      </c>
      <c r="D3" s="8">
        <v>2696.3</v>
      </c>
      <c r="E3" s="8">
        <v>95.92</v>
      </c>
      <c r="F3" s="8">
        <f>E3*D3</f>
        <v>258629.09600000002</v>
      </c>
      <c r="G3" s="8">
        <v>3928.93</v>
      </c>
      <c r="H3" s="8">
        <v>1073.68</v>
      </c>
      <c r="I3" s="8">
        <f>G3-H3</f>
        <v>2855.25</v>
      </c>
      <c r="J3" s="8">
        <f>F3+G3-H3</f>
        <v>261484.34600000002</v>
      </c>
      <c r="K3" s="8">
        <v>37186.93</v>
      </c>
      <c r="L3" s="8">
        <v>8181.1246000000001</v>
      </c>
      <c r="M3" s="8">
        <v>4837.09</v>
      </c>
    </row>
    <row r="4" spans="2:13" x14ac:dyDescent="0.3">
      <c r="B4">
        <v>2</v>
      </c>
      <c r="C4" t="s">
        <v>23</v>
      </c>
      <c r="D4" s="8">
        <v>545.1</v>
      </c>
      <c r="E4" s="8">
        <v>116.6</v>
      </c>
      <c r="F4" s="8">
        <f t="shared" ref="F4:F12" si="0">E4*D4</f>
        <v>63558.659999999996</v>
      </c>
      <c r="G4" s="8">
        <v>635.13</v>
      </c>
      <c r="H4" s="8">
        <v>305.31</v>
      </c>
      <c r="I4" s="8">
        <f t="shared" ref="I4:I12" si="1">G4-H4</f>
        <v>329.82</v>
      </c>
      <c r="J4" s="8">
        <f t="shared" ref="J4:J12" si="2">F4+G4-H4</f>
        <v>63888.479999999996</v>
      </c>
      <c r="K4" s="8">
        <v>12263.24</v>
      </c>
      <c r="L4" s="8">
        <v>2084.7508000000003</v>
      </c>
      <c r="M4" s="8">
        <v>1217.99</v>
      </c>
    </row>
    <row r="5" spans="2:13" x14ac:dyDescent="0.3">
      <c r="B5">
        <v>3</v>
      </c>
      <c r="C5" t="s">
        <v>24</v>
      </c>
      <c r="D5" s="8">
        <v>204.75</v>
      </c>
      <c r="E5" s="8">
        <v>80.88</v>
      </c>
      <c r="F5" s="8">
        <f t="shared" si="0"/>
        <v>16560.18</v>
      </c>
      <c r="G5" s="8">
        <v>302.73</v>
      </c>
      <c r="H5" s="8">
        <v>225.78</v>
      </c>
      <c r="I5" s="8">
        <f t="shared" si="1"/>
        <v>76.950000000000017</v>
      </c>
      <c r="J5" s="8">
        <f t="shared" si="2"/>
        <v>16637.13</v>
      </c>
      <c r="K5" s="8">
        <v>8263.4699999999993</v>
      </c>
      <c r="L5" s="8">
        <v>1156.8858</v>
      </c>
      <c r="M5" s="8">
        <v>588.66</v>
      </c>
    </row>
    <row r="6" spans="2:13" x14ac:dyDescent="0.3">
      <c r="B6">
        <v>4</v>
      </c>
      <c r="C6" t="s">
        <v>25</v>
      </c>
      <c r="D6" s="8">
        <v>3167.4</v>
      </c>
      <c r="E6" s="8">
        <v>4.55</v>
      </c>
      <c r="F6" s="8">
        <f t="shared" si="0"/>
        <v>14411.67</v>
      </c>
      <c r="G6" s="8">
        <v>79.099999999999994</v>
      </c>
      <c r="H6" s="8">
        <v>323.7</v>
      </c>
      <c r="I6" s="8">
        <f t="shared" si="1"/>
        <v>-244.6</v>
      </c>
      <c r="J6" s="8">
        <f t="shared" si="2"/>
        <v>14167.07</v>
      </c>
      <c r="K6" s="8">
        <v>3577.6</v>
      </c>
      <c r="L6" s="8">
        <v>608.19200000000001</v>
      </c>
      <c r="M6" s="8">
        <v>1962.5</v>
      </c>
    </row>
    <row r="7" spans="2:13" x14ac:dyDescent="0.3">
      <c r="B7">
        <v>5</v>
      </c>
      <c r="C7" t="s">
        <v>26</v>
      </c>
      <c r="D7" s="8">
        <v>1148.7</v>
      </c>
      <c r="E7" s="8">
        <v>4.7699999999999996</v>
      </c>
      <c r="F7" s="8">
        <f t="shared" si="0"/>
        <v>5479.299</v>
      </c>
      <c r="G7" s="8">
        <v>18.37</v>
      </c>
      <c r="H7" s="8">
        <v>28.55</v>
      </c>
      <c r="I7" s="8">
        <f t="shared" si="1"/>
        <v>-10.18</v>
      </c>
      <c r="J7" s="8">
        <f t="shared" si="2"/>
        <v>5469.1189999999997</v>
      </c>
      <c r="K7" s="8">
        <v>1385.31</v>
      </c>
      <c r="L7" s="8">
        <v>277.06200000000001</v>
      </c>
      <c r="M7" s="8">
        <v>161.4</v>
      </c>
    </row>
    <row r="8" spans="2:13" x14ac:dyDescent="0.3">
      <c r="B8">
        <v>6</v>
      </c>
      <c r="C8" t="s">
        <v>27</v>
      </c>
      <c r="D8" s="8">
        <v>426.9</v>
      </c>
      <c r="E8" s="8">
        <v>5.68</v>
      </c>
      <c r="F8" s="8">
        <f t="shared" si="0"/>
        <v>2424.7919999999999</v>
      </c>
      <c r="G8" s="8">
        <v>32.32</v>
      </c>
      <c r="H8" s="8">
        <v>57.98</v>
      </c>
      <c r="I8" s="8">
        <f t="shared" si="1"/>
        <v>-25.659999999999997</v>
      </c>
      <c r="J8" s="8">
        <f t="shared" si="2"/>
        <v>2399.1320000000001</v>
      </c>
      <c r="K8" s="8">
        <v>508.26</v>
      </c>
      <c r="L8" s="8">
        <v>106.7346</v>
      </c>
      <c r="M8" s="8">
        <v>67.05</v>
      </c>
    </row>
    <row r="9" spans="2:13" x14ac:dyDescent="0.3">
      <c r="B9">
        <v>7</v>
      </c>
      <c r="C9" t="s">
        <v>28</v>
      </c>
      <c r="D9" s="8">
        <v>91.39</v>
      </c>
      <c r="E9" s="8">
        <v>8.3699999999999992</v>
      </c>
      <c r="F9" s="8">
        <f t="shared" si="0"/>
        <v>764.93429999999989</v>
      </c>
      <c r="G9" s="8">
        <v>164.76</v>
      </c>
      <c r="H9" s="8">
        <v>47.09</v>
      </c>
      <c r="I9" s="8">
        <f t="shared" si="1"/>
        <v>117.66999999999999</v>
      </c>
      <c r="J9" s="8">
        <f t="shared" si="2"/>
        <v>882.60429999999985</v>
      </c>
      <c r="K9" s="8">
        <v>558.79</v>
      </c>
      <c r="L9" s="8">
        <v>-22.351599999999998</v>
      </c>
      <c r="M9" s="8">
        <v>-69.44</v>
      </c>
    </row>
    <row r="10" spans="2:13" x14ac:dyDescent="0.3">
      <c r="B10">
        <v>8</v>
      </c>
      <c r="C10" t="s">
        <v>29</v>
      </c>
      <c r="D10" s="8">
        <v>4.54</v>
      </c>
      <c r="E10" s="8">
        <v>32.9</v>
      </c>
      <c r="F10" s="8">
        <f t="shared" si="0"/>
        <v>149.36599999999999</v>
      </c>
      <c r="G10" s="8">
        <v>34.1</v>
      </c>
      <c r="H10" s="8">
        <v>19.75</v>
      </c>
      <c r="I10" s="8">
        <f t="shared" si="1"/>
        <v>14.350000000000001</v>
      </c>
      <c r="J10" s="8">
        <f t="shared" si="2"/>
        <v>163.71599999999998</v>
      </c>
      <c r="K10" s="8">
        <v>241.31</v>
      </c>
      <c r="L10" s="8">
        <v>4.8262</v>
      </c>
      <c r="M10" s="8">
        <v>-5.08</v>
      </c>
    </row>
    <row r="11" spans="2:13" x14ac:dyDescent="0.3">
      <c r="B11">
        <v>9</v>
      </c>
      <c r="C11" t="s">
        <v>30</v>
      </c>
      <c r="D11" s="8">
        <v>215.05</v>
      </c>
      <c r="E11" s="8">
        <v>0.62</v>
      </c>
      <c r="F11" s="8">
        <f t="shared" si="0"/>
        <v>133.33100000000002</v>
      </c>
      <c r="G11" s="8">
        <v>0</v>
      </c>
      <c r="H11" s="8">
        <v>8.73</v>
      </c>
      <c r="I11" s="8">
        <f t="shared" si="1"/>
        <v>-8.73</v>
      </c>
      <c r="J11" s="8">
        <f t="shared" si="2"/>
        <v>124.60100000000001</v>
      </c>
      <c r="K11" s="8">
        <v>54.9</v>
      </c>
      <c r="L11" s="8">
        <v>13.175999999999998</v>
      </c>
      <c r="M11" s="8">
        <v>9.86</v>
      </c>
    </row>
    <row r="12" spans="2:13" x14ac:dyDescent="0.3">
      <c r="B12">
        <v>10</v>
      </c>
      <c r="C12" t="s">
        <v>31</v>
      </c>
      <c r="D12" s="8">
        <v>40.56</v>
      </c>
      <c r="E12" s="8">
        <v>1.53</v>
      </c>
      <c r="F12" s="8">
        <f t="shared" si="0"/>
        <v>62.056800000000003</v>
      </c>
      <c r="G12" s="8">
        <v>18.39</v>
      </c>
      <c r="H12" s="8">
        <v>0.89</v>
      </c>
      <c r="I12" s="8">
        <f t="shared" si="1"/>
        <v>17.5</v>
      </c>
      <c r="J12" s="8">
        <f t="shared" si="2"/>
        <v>79.556799999999996</v>
      </c>
      <c r="K12" s="8">
        <v>23.74</v>
      </c>
      <c r="L12" s="8">
        <v>2.8487999999999998</v>
      </c>
      <c r="M12" s="8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sumedhkagawade1107@outlook.com</dc:creator>
  <cp:lastModifiedBy>Sumedh Kagwade</cp:lastModifiedBy>
  <cp:lastPrinted>2026-08-15T10:38:24Z</cp:lastPrinted>
  <dcterms:created xsi:type="dcterms:W3CDTF">2026-07-31T06:37:54Z</dcterms:created>
  <dcterms:modified xsi:type="dcterms:W3CDTF">2026-09-30T20:28:38Z</dcterms:modified>
</cp:coreProperties>
</file>