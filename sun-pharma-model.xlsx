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EDH KAGWADE\Downloads\projects\"/>
    </mc:Choice>
  </mc:AlternateContent>
  <xr:revisionPtr revIDLastSave="0" documentId="13_ncr:1_{68A8A557-5310-48B2-AE95-DC54CFFA0EA3}" xr6:coauthVersionLast="47" xr6:coauthVersionMax="47" xr10:uidLastSave="{00000000-0000-0000-0000-000000000000}"/>
  <bookViews>
    <workbookView xWindow="-108" yWindow="-108" windowWidth="23256" windowHeight="12456" firstSheet="5" activeTab="12" xr2:uid="{00000000-000D-0000-FFFF-FFFF00000000}"/>
  </bookViews>
  <sheets>
    <sheet name="Profit &amp; Loss" sheetId="1" r:id="rId1"/>
    <sheet name="HistoricalFS" sheetId="8" r:id="rId2"/>
    <sheet name="Data Sheet" sheetId="6" r:id="rId3"/>
    <sheet name="Ratio Analysis" sheetId="12" r:id="rId4"/>
    <sheet name="CashFlow Data" sheetId="11" r:id="rId5"/>
    <sheet name="Forecast" sheetId="15" r:id="rId6"/>
    <sheet name="Sheet2" sheetId="16" r:id="rId7"/>
    <sheet name="Common Size Statement" sheetId="17" r:id="rId8"/>
    <sheet name="WACC" sheetId="19" r:id="rId9"/>
    <sheet name="Beta" sheetId="20" r:id="rId10"/>
    <sheet name="Raw FS" sheetId="21" r:id="rId11"/>
    <sheet name="Data Room" sheetId="22" r:id="rId12"/>
    <sheet name="DCF" sheetId="23" r:id="rId13"/>
  </sheets>
  <externalReferences>
    <externalReference r:id="rId14"/>
  </externalReferences>
  <definedNames>
    <definedName name="_xlnm._FilterDatabase" localSheetId="9" hidden="1">Beta!$B$6:$D$111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23" l="1"/>
  <c r="F12" i="23"/>
  <c r="G12" i="23"/>
  <c r="H12" i="23"/>
  <c r="I12" i="23"/>
  <c r="D12" i="23"/>
  <c r="E10" i="23"/>
  <c r="F10" i="23" s="1"/>
  <c r="G10" i="23" s="1"/>
  <c r="H10" i="23" s="1"/>
  <c r="D10" i="23"/>
  <c r="E8" i="23"/>
  <c r="F8" i="23"/>
  <c r="G8" i="23"/>
  <c r="H8" i="23"/>
  <c r="I8" i="23"/>
  <c r="D8" i="23"/>
  <c r="F6" i="23"/>
  <c r="G6" i="23"/>
  <c r="H6" i="23"/>
  <c r="I6" i="23"/>
  <c r="E6" i="23"/>
  <c r="D4" i="23"/>
  <c r="E2" i="23"/>
  <c r="F2" i="23" s="1"/>
  <c r="G2" i="23" s="1"/>
  <c r="H2" i="23" s="1"/>
  <c r="I2" i="23" s="1"/>
  <c r="D2" i="23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K63" i="22"/>
  <c r="K62" i="22"/>
  <c r="G33" i="22"/>
  <c r="H33" i="22"/>
  <c r="I33" i="22"/>
  <c r="J33" i="22"/>
  <c r="K33" i="22"/>
  <c r="G34" i="22"/>
  <c r="H34" i="22"/>
  <c r="I34" i="22"/>
  <c r="J34" i="22"/>
  <c r="K34" i="22"/>
  <c r="K55" i="22"/>
  <c r="J55" i="22"/>
  <c r="I55" i="22"/>
  <c r="H55" i="22"/>
  <c r="G55" i="22"/>
  <c r="H41" i="22"/>
  <c r="I41" i="22"/>
  <c r="J41" i="22"/>
  <c r="K41" i="22"/>
  <c r="G41" i="22"/>
  <c r="K39" i="22"/>
  <c r="J39" i="22"/>
  <c r="I39" i="22"/>
  <c r="H39" i="22"/>
  <c r="G39" i="22"/>
  <c r="H2" i="22"/>
  <c r="I2" i="22"/>
  <c r="J2" i="22"/>
  <c r="K2" i="22"/>
  <c r="G2" i="22"/>
  <c r="H44" i="22"/>
  <c r="H46" i="22" s="1"/>
  <c r="I44" i="22"/>
  <c r="I46" i="22" s="1"/>
  <c r="J44" i="22"/>
  <c r="J46" i="22" s="1"/>
  <c r="K44" i="22"/>
  <c r="K46" i="22" s="1"/>
  <c r="G44" i="22"/>
  <c r="G46" i="22" s="1"/>
  <c r="H30" i="22"/>
  <c r="I30" i="22"/>
  <c r="J30" i="22"/>
  <c r="K30" i="22"/>
  <c r="G30" i="22"/>
  <c r="G21" i="22"/>
  <c r="H21" i="22"/>
  <c r="I21" i="22"/>
  <c r="J21" i="22"/>
  <c r="K21" i="22"/>
  <c r="G22" i="22"/>
  <c r="H22" i="22"/>
  <c r="I22" i="22"/>
  <c r="J22" i="22"/>
  <c r="K22" i="22"/>
  <c r="G23" i="22"/>
  <c r="H23" i="22"/>
  <c r="I23" i="22"/>
  <c r="J23" i="22"/>
  <c r="K23" i="22"/>
  <c r="G24" i="22"/>
  <c r="H24" i="22"/>
  <c r="I24" i="22"/>
  <c r="J24" i="22"/>
  <c r="K24" i="22"/>
  <c r="G25" i="22"/>
  <c r="H25" i="22"/>
  <c r="I25" i="22"/>
  <c r="J25" i="22"/>
  <c r="K25" i="22"/>
  <c r="G26" i="22"/>
  <c r="H26" i="22"/>
  <c r="I26" i="22"/>
  <c r="J26" i="22"/>
  <c r="K26" i="22"/>
  <c r="G27" i="22"/>
  <c r="H27" i="22"/>
  <c r="I27" i="22"/>
  <c r="J27" i="22"/>
  <c r="K27" i="22"/>
  <c r="H20" i="22"/>
  <c r="H29" i="22" s="1"/>
  <c r="H31" i="22" s="1"/>
  <c r="I20" i="22"/>
  <c r="I29" i="22" s="1"/>
  <c r="I31" i="22" s="1"/>
  <c r="J20" i="22"/>
  <c r="J29" i="22" s="1"/>
  <c r="J31" i="22" s="1"/>
  <c r="K20" i="22"/>
  <c r="K29" i="22" s="1"/>
  <c r="K31" i="22" s="1"/>
  <c r="G20" i="22"/>
  <c r="G29" i="22" s="1"/>
  <c r="G31" i="22" s="1"/>
  <c r="B21" i="22"/>
  <c r="B22" i="22"/>
  <c r="B23" i="22"/>
  <c r="B24" i="22"/>
  <c r="B25" i="22"/>
  <c r="B26" i="22"/>
  <c r="B27" i="22"/>
  <c r="B20" i="22"/>
  <c r="H12" i="22"/>
  <c r="I12" i="22"/>
  <c r="J12" i="22"/>
  <c r="K12" i="22"/>
  <c r="H13" i="22"/>
  <c r="I13" i="22"/>
  <c r="J13" i="22"/>
  <c r="K13" i="22"/>
  <c r="H14" i="22"/>
  <c r="I14" i="22"/>
  <c r="J14" i="22"/>
  <c r="K14" i="22"/>
  <c r="G13" i="22"/>
  <c r="G14" i="22"/>
  <c r="G12" i="22"/>
  <c r="G15" i="22" s="1"/>
  <c r="B13" i="22"/>
  <c r="B14" i="22"/>
  <c r="B12" i="22"/>
  <c r="H8" i="22"/>
  <c r="I8" i="22"/>
  <c r="J8" i="22"/>
  <c r="K8" i="22"/>
  <c r="G8" i="22"/>
  <c r="H7" i="22"/>
  <c r="I7" i="22"/>
  <c r="J7" i="22"/>
  <c r="K7" i="22"/>
  <c r="G7" i="22"/>
  <c r="H5" i="22"/>
  <c r="I5" i="22"/>
  <c r="J5" i="22"/>
  <c r="K5" i="22"/>
  <c r="H6" i="22"/>
  <c r="I6" i="22"/>
  <c r="J6" i="22"/>
  <c r="K6" i="22"/>
  <c r="G6" i="22"/>
  <c r="G5" i="22"/>
  <c r="G9" i="22" s="1"/>
  <c r="G17" i="22" s="1"/>
  <c r="B8" i="22"/>
  <c r="B7" i="22"/>
  <c r="B6" i="22"/>
  <c r="B5" i="22"/>
  <c r="D29" i="21"/>
  <c r="E29" i="21"/>
  <c r="F29" i="21"/>
  <c r="G29" i="21"/>
  <c r="H29" i="21"/>
  <c r="I29" i="21"/>
  <c r="J29" i="21"/>
  <c r="K29" i="21"/>
  <c r="L29" i="21"/>
  <c r="C29" i="21"/>
  <c r="D8" i="20"/>
  <c r="G8" i="20"/>
  <c r="D9" i="20"/>
  <c r="G9" i="20"/>
  <c r="J9" i="20"/>
  <c r="D10" i="20"/>
  <c r="G10" i="20"/>
  <c r="N10" i="20"/>
  <c r="D11" i="20"/>
  <c r="G11" i="20"/>
  <c r="D12" i="20"/>
  <c r="G12" i="20"/>
  <c r="D13" i="20"/>
  <c r="G13" i="20"/>
  <c r="D14" i="20"/>
  <c r="G14" i="20"/>
  <c r="D15" i="20"/>
  <c r="G15" i="20"/>
  <c r="D16" i="20"/>
  <c r="G16" i="20"/>
  <c r="D17" i="20"/>
  <c r="G17" i="20"/>
  <c r="D18" i="20"/>
  <c r="G18" i="20"/>
  <c r="D19" i="20"/>
  <c r="G19" i="20"/>
  <c r="D20" i="20"/>
  <c r="G20" i="20"/>
  <c r="D21" i="20"/>
  <c r="G21" i="20"/>
  <c r="D22" i="20"/>
  <c r="G22" i="20"/>
  <c r="D23" i="20"/>
  <c r="G23" i="20"/>
  <c r="D24" i="20"/>
  <c r="G24" i="20"/>
  <c r="D25" i="20"/>
  <c r="G25" i="20"/>
  <c r="D26" i="20"/>
  <c r="G26" i="20"/>
  <c r="D27" i="20"/>
  <c r="G27" i="20"/>
  <c r="D28" i="20"/>
  <c r="G28" i="20"/>
  <c r="D29" i="20"/>
  <c r="G29" i="20"/>
  <c r="D30" i="20"/>
  <c r="G30" i="20"/>
  <c r="D31" i="20"/>
  <c r="G31" i="20"/>
  <c r="D32" i="20"/>
  <c r="G32" i="20"/>
  <c r="D33" i="20"/>
  <c r="G33" i="20"/>
  <c r="D34" i="20"/>
  <c r="G34" i="20"/>
  <c r="D35" i="20"/>
  <c r="G35" i="20"/>
  <c r="D36" i="20"/>
  <c r="G36" i="20"/>
  <c r="D37" i="20"/>
  <c r="G37" i="20"/>
  <c r="D38" i="20"/>
  <c r="G38" i="20"/>
  <c r="D39" i="20"/>
  <c r="G39" i="20"/>
  <c r="D40" i="20"/>
  <c r="G40" i="20"/>
  <c r="D41" i="20"/>
  <c r="G41" i="20"/>
  <c r="D42" i="20"/>
  <c r="G42" i="20"/>
  <c r="D43" i="20"/>
  <c r="G43" i="20"/>
  <c r="D44" i="20"/>
  <c r="G44" i="20"/>
  <c r="D45" i="20"/>
  <c r="G45" i="20"/>
  <c r="D46" i="20"/>
  <c r="G46" i="20"/>
  <c r="D47" i="20"/>
  <c r="G47" i="20"/>
  <c r="D48" i="20"/>
  <c r="G48" i="20"/>
  <c r="D49" i="20"/>
  <c r="G49" i="20"/>
  <c r="D50" i="20"/>
  <c r="G50" i="20"/>
  <c r="D51" i="20"/>
  <c r="G51" i="20"/>
  <c r="D52" i="20"/>
  <c r="G52" i="20"/>
  <c r="D53" i="20"/>
  <c r="G53" i="20"/>
  <c r="D54" i="20"/>
  <c r="G54" i="20"/>
  <c r="D55" i="20"/>
  <c r="G55" i="20"/>
  <c r="D56" i="20"/>
  <c r="G56" i="20"/>
  <c r="D57" i="20"/>
  <c r="G57" i="20"/>
  <c r="D58" i="20"/>
  <c r="G58" i="20"/>
  <c r="D59" i="20"/>
  <c r="G59" i="20"/>
  <c r="D60" i="20"/>
  <c r="G60" i="20"/>
  <c r="D61" i="20"/>
  <c r="G61" i="20"/>
  <c r="D62" i="20"/>
  <c r="G62" i="20"/>
  <c r="D63" i="20"/>
  <c r="G63" i="20"/>
  <c r="D64" i="20"/>
  <c r="G64" i="20"/>
  <c r="D65" i="20"/>
  <c r="G65" i="20"/>
  <c r="D66" i="20"/>
  <c r="G66" i="20"/>
  <c r="D67" i="20"/>
  <c r="G67" i="20"/>
  <c r="D68" i="20"/>
  <c r="G68" i="20"/>
  <c r="D69" i="20"/>
  <c r="G69" i="20"/>
  <c r="D70" i="20"/>
  <c r="G70" i="20"/>
  <c r="D71" i="20"/>
  <c r="G71" i="20"/>
  <c r="D72" i="20"/>
  <c r="G72" i="20"/>
  <c r="D73" i="20"/>
  <c r="G73" i="20"/>
  <c r="D74" i="20"/>
  <c r="G74" i="20"/>
  <c r="D75" i="20"/>
  <c r="G75" i="20"/>
  <c r="D76" i="20"/>
  <c r="G76" i="20"/>
  <c r="D77" i="20"/>
  <c r="G77" i="20"/>
  <c r="D78" i="20"/>
  <c r="G78" i="20"/>
  <c r="D79" i="20"/>
  <c r="G79" i="20"/>
  <c r="D80" i="20"/>
  <c r="G80" i="20"/>
  <c r="D81" i="20"/>
  <c r="G81" i="20"/>
  <c r="D82" i="20"/>
  <c r="G82" i="20"/>
  <c r="D83" i="20"/>
  <c r="G83" i="20"/>
  <c r="D84" i="20"/>
  <c r="G84" i="20"/>
  <c r="D85" i="20"/>
  <c r="G85" i="20"/>
  <c r="D86" i="20"/>
  <c r="G86" i="20"/>
  <c r="D87" i="20"/>
  <c r="G87" i="20"/>
  <c r="D88" i="20"/>
  <c r="G88" i="20"/>
  <c r="D89" i="20"/>
  <c r="G89" i="20"/>
  <c r="D90" i="20"/>
  <c r="G90" i="20"/>
  <c r="D91" i="20"/>
  <c r="G91" i="20"/>
  <c r="D92" i="20"/>
  <c r="G92" i="20"/>
  <c r="D93" i="20"/>
  <c r="G93" i="20"/>
  <c r="D94" i="20"/>
  <c r="G94" i="20"/>
  <c r="D95" i="20"/>
  <c r="G95" i="20"/>
  <c r="D96" i="20"/>
  <c r="G96" i="20"/>
  <c r="D97" i="20"/>
  <c r="G97" i="20"/>
  <c r="D98" i="20"/>
  <c r="G98" i="20"/>
  <c r="D99" i="20"/>
  <c r="G99" i="20"/>
  <c r="D100" i="20"/>
  <c r="G100" i="20"/>
  <c r="D101" i="20"/>
  <c r="G101" i="20"/>
  <c r="D102" i="20"/>
  <c r="G102" i="20"/>
  <c r="D103" i="20"/>
  <c r="G103" i="20"/>
  <c r="D104" i="20"/>
  <c r="G104" i="20"/>
  <c r="D105" i="20"/>
  <c r="G105" i="20"/>
  <c r="D106" i="20"/>
  <c r="G106" i="20"/>
  <c r="D107" i="20"/>
  <c r="G107" i="20"/>
  <c r="D108" i="20"/>
  <c r="G108" i="20"/>
  <c r="D109" i="20"/>
  <c r="G109" i="20"/>
  <c r="D110" i="20"/>
  <c r="G110" i="20"/>
  <c r="D111" i="20"/>
  <c r="G111" i="20"/>
  <c r="H14" i="19"/>
  <c r="I14" i="19"/>
  <c r="K14" i="19"/>
  <c r="H15" i="19"/>
  <c r="K15" i="19" s="1"/>
  <c r="I15" i="19"/>
  <c r="H16" i="19"/>
  <c r="I16" i="19"/>
  <c r="K16" i="19"/>
  <c r="H17" i="19"/>
  <c r="I17" i="19"/>
  <c r="K17" i="19"/>
  <c r="H18" i="19"/>
  <c r="I18" i="19"/>
  <c r="K18" i="19"/>
  <c r="G20" i="19"/>
  <c r="H20" i="19"/>
  <c r="I20" i="19"/>
  <c r="J20" i="19"/>
  <c r="G21" i="19"/>
  <c r="H21" i="19"/>
  <c r="I21" i="19"/>
  <c r="J21" i="19"/>
  <c r="E28" i="19"/>
  <c r="K36" i="19"/>
  <c r="C37" i="19"/>
  <c r="J42" i="19"/>
  <c r="K42" i="19"/>
  <c r="F9" i="8"/>
  <c r="C9" i="8"/>
  <c r="B2" i="17"/>
  <c r="C2" i="17"/>
  <c r="D2" i="17"/>
  <c r="E2" i="17"/>
  <c r="F2" i="17"/>
  <c r="G2" i="17"/>
  <c r="H2" i="17"/>
  <c r="I2" i="17"/>
  <c r="J2" i="17"/>
  <c r="K2" i="17"/>
  <c r="L2" i="17"/>
  <c r="B40" i="17"/>
  <c r="B41" i="17"/>
  <c r="B39" i="17"/>
  <c r="B36" i="17"/>
  <c r="B37" i="17"/>
  <c r="B38" i="17"/>
  <c r="B35" i="17"/>
  <c r="D29" i="17"/>
  <c r="E29" i="17"/>
  <c r="F29" i="17"/>
  <c r="G29" i="17"/>
  <c r="H29" i="17"/>
  <c r="I29" i="17"/>
  <c r="J29" i="17"/>
  <c r="K29" i="17"/>
  <c r="L29" i="17"/>
  <c r="D30" i="17"/>
  <c r="E30" i="17"/>
  <c r="F30" i="17"/>
  <c r="G30" i="17"/>
  <c r="H30" i="17"/>
  <c r="I30" i="17"/>
  <c r="J30" i="17"/>
  <c r="K30" i="17"/>
  <c r="L30" i="17"/>
  <c r="D31" i="17"/>
  <c r="E31" i="17"/>
  <c r="F31" i="17"/>
  <c r="G31" i="17"/>
  <c r="H31" i="17"/>
  <c r="I31" i="17"/>
  <c r="J31" i="17"/>
  <c r="K31" i="17"/>
  <c r="L31" i="17"/>
  <c r="D32" i="17"/>
  <c r="E32" i="17"/>
  <c r="F32" i="17"/>
  <c r="G32" i="17"/>
  <c r="H32" i="17"/>
  <c r="I32" i="17"/>
  <c r="J32" i="17"/>
  <c r="K32" i="17"/>
  <c r="L32" i="17"/>
  <c r="C30" i="17"/>
  <c r="C31" i="17"/>
  <c r="C32" i="17"/>
  <c r="C29" i="17"/>
  <c r="C75" i="6"/>
  <c r="D75" i="6"/>
  <c r="E75" i="6"/>
  <c r="F75" i="6"/>
  <c r="G75" i="6"/>
  <c r="H75" i="6"/>
  <c r="I75" i="6"/>
  <c r="J75" i="6"/>
  <c r="K75" i="6"/>
  <c r="B75" i="6"/>
  <c r="C74" i="6"/>
  <c r="D38" i="17" s="1"/>
  <c r="D74" i="6"/>
  <c r="E74" i="6"/>
  <c r="F74" i="6"/>
  <c r="G74" i="6"/>
  <c r="H74" i="6"/>
  <c r="I74" i="6"/>
  <c r="J74" i="6"/>
  <c r="K74" i="6"/>
  <c r="B74" i="6"/>
  <c r="B30" i="17"/>
  <c r="B31" i="17"/>
  <c r="B32" i="17"/>
  <c r="B29" i="17"/>
  <c r="D28" i="17"/>
  <c r="E28" i="17"/>
  <c r="F28" i="17"/>
  <c r="G28" i="17"/>
  <c r="H28" i="17"/>
  <c r="I28" i="17"/>
  <c r="J28" i="17"/>
  <c r="K28" i="17"/>
  <c r="L28" i="17"/>
  <c r="C28" i="17"/>
  <c r="D26" i="17"/>
  <c r="E26" i="17"/>
  <c r="F26" i="17"/>
  <c r="G26" i="17"/>
  <c r="H26" i="17"/>
  <c r="I26" i="17"/>
  <c r="J26" i="17"/>
  <c r="K26" i="17"/>
  <c r="L26" i="17"/>
  <c r="C26" i="17"/>
  <c r="B24" i="17"/>
  <c r="L24" i="17"/>
  <c r="K24" i="17"/>
  <c r="J24" i="17"/>
  <c r="I24" i="17"/>
  <c r="H24" i="17"/>
  <c r="G24" i="17"/>
  <c r="F24" i="17"/>
  <c r="E24" i="17"/>
  <c r="D24" i="17"/>
  <c r="C24" i="17"/>
  <c r="C7" i="17"/>
  <c r="D7" i="17"/>
  <c r="E7" i="17"/>
  <c r="F7" i="17"/>
  <c r="G7" i="17"/>
  <c r="H7" i="17"/>
  <c r="I7" i="17"/>
  <c r="J7" i="17"/>
  <c r="K7" i="17"/>
  <c r="L7" i="17"/>
  <c r="C8" i="17"/>
  <c r="D8" i="17"/>
  <c r="E8" i="17"/>
  <c r="F8" i="17"/>
  <c r="G8" i="17"/>
  <c r="H8" i="17"/>
  <c r="I8" i="17"/>
  <c r="J8" i="17"/>
  <c r="K8" i="17"/>
  <c r="L8" i="17"/>
  <c r="C9" i="17"/>
  <c r="D9" i="17"/>
  <c r="E9" i="17"/>
  <c r="F9" i="17"/>
  <c r="G9" i="17"/>
  <c r="H9" i="17"/>
  <c r="I9" i="17"/>
  <c r="J9" i="17"/>
  <c r="K9" i="17"/>
  <c r="L9" i="17"/>
  <c r="C10" i="17"/>
  <c r="D10" i="17"/>
  <c r="E10" i="17"/>
  <c r="F10" i="17"/>
  <c r="G10" i="17"/>
  <c r="H10" i="17"/>
  <c r="I10" i="17"/>
  <c r="J10" i="17"/>
  <c r="K10" i="17"/>
  <c r="L10" i="17"/>
  <c r="C11" i="17"/>
  <c r="D11" i="17"/>
  <c r="E11" i="17"/>
  <c r="F11" i="17"/>
  <c r="G11" i="17"/>
  <c r="H11" i="17"/>
  <c r="I11" i="17"/>
  <c r="J11" i="17"/>
  <c r="K11" i="17"/>
  <c r="L11" i="17"/>
  <c r="C12" i="17"/>
  <c r="D12" i="17"/>
  <c r="E12" i="17"/>
  <c r="F12" i="17"/>
  <c r="G12" i="17"/>
  <c r="H12" i="17"/>
  <c r="I12" i="17"/>
  <c r="J12" i="17"/>
  <c r="K12" i="17"/>
  <c r="L12" i="17"/>
  <c r="C13" i="17"/>
  <c r="D13" i="17"/>
  <c r="E13" i="17"/>
  <c r="F13" i="17"/>
  <c r="G13" i="17"/>
  <c r="H13" i="17"/>
  <c r="I13" i="17"/>
  <c r="J13" i="17"/>
  <c r="K13" i="17"/>
  <c r="L13" i="17"/>
  <c r="C14" i="17"/>
  <c r="D14" i="17"/>
  <c r="E14" i="17"/>
  <c r="F14" i="17"/>
  <c r="G14" i="17"/>
  <c r="H14" i="17"/>
  <c r="I14" i="17"/>
  <c r="J14" i="17"/>
  <c r="K14" i="17"/>
  <c r="L14" i="17"/>
  <c r="C15" i="17"/>
  <c r="D15" i="17"/>
  <c r="E15" i="17"/>
  <c r="F15" i="17"/>
  <c r="G15" i="17"/>
  <c r="H15" i="17"/>
  <c r="I15" i="17"/>
  <c r="J15" i="17"/>
  <c r="K15" i="17"/>
  <c r="L15" i="17"/>
  <c r="C16" i="17"/>
  <c r="D16" i="17"/>
  <c r="E16" i="17"/>
  <c r="F16" i="17"/>
  <c r="G16" i="17"/>
  <c r="H16" i="17"/>
  <c r="I16" i="17"/>
  <c r="J16" i="17"/>
  <c r="K16" i="17"/>
  <c r="L16" i="17"/>
  <c r="C17" i="17"/>
  <c r="D17" i="17"/>
  <c r="E17" i="17"/>
  <c r="F17" i="17"/>
  <c r="G17" i="17"/>
  <c r="H17" i="17"/>
  <c r="I17" i="17"/>
  <c r="J17" i="17"/>
  <c r="K17" i="17"/>
  <c r="L17" i="17"/>
  <c r="C18" i="17"/>
  <c r="D18" i="17"/>
  <c r="E18" i="17"/>
  <c r="F18" i="17"/>
  <c r="G18" i="17"/>
  <c r="H18" i="17"/>
  <c r="I18" i="17"/>
  <c r="J18" i="17"/>
  <c r="K18" i="17"/>
  <c r="L18" i="17"/>
  <c r="C19" i="17"/>
  <c r="D19" i="17"/>
  <c r="E19" i="17"/>
  <c r="F19" i="17"/>
  <c r="G19" i="17"/>
  <c r="H19" i="17"/>
  <c r="I19" i="17"/>
  <c r="J19" i="17"/>
  <c r="K19" i="17"/>
  <c r="L19" i="17"/>
  <c r="C20" i="17"/>
  <c r="D20" i="17"/>
  <c r="E20" i="17"/>
  <c r="F20" i="17"/>
  <c r="G20" i="17"/>
  <c r="H20" i="17"/>
  <c r="I20" i="17"/>
  <c r="J20" i="17"/>
  <c r="K20" i="17"/>
  <c r="L20" i="17"/>
  <c r="D6" i="17"/>
  <c r="E6" i="17"/>
  <c r="F6" i="17"/>
  <c r="G6" i="17"/>
  <c r="H6" i="17"/>
  <c r="I6" i="17"/>
  <c r="J6" i="17"/>
  <c r="K6" i="17"/>
  <c r="L6" i="17"/>
  <c r="C6" i="17"/>
  <c r="C32" i="6"/>
  <c r="D21" i="17" s="1"/>
  <c r="D32" i="6"/>
  <c r="E21" i="17" s="1"/>
  <c r="E32" i="6"/>
  <c r="F21" i="17" s="1"/>
  <c r="F32" i="6"/>
  <c r="G21" i="17" s="1"/>
  <c r="G32" i="6"/>
  <c r="H21" i="17" s="1"/>
  <c r="H32" i="6"/>
  <c r="I21" i="17" s="1"/>
  <c r="I32" i="6"/>
  <c r="J21" i="17" s="1"/>
  <c r="J32" i="6"/>
  <c r="K21" i="17" s="1"/>
  <c r="K32" i="6"/>
  <c r="L21" i="17" s="1"/>
  <c r="B32" i="6"/>
  <c r="C21" i="17" s="1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6" i="17"/>
  <c r="D4" i="17"/>
  <c r="E4" i="17"/>
  <c r="F4" i="17"/>
  <c r="G4" i="17"/>
  <c r="H4" i="17"/>
  <c r="I4" i="17"/>
  <c r="J4" i="17"/>
  <c r="K4" i="17"/>
  <c r="L4" i="17"/>
  <c r="C4" i="17"/>
  <c r="L6" i="1"/>
  <c r="L5" i="1"/>
  <c r="L7" i="1"/>
  <c r="L8" i="1"/>
  <c r="L9" i="1"/>
  <c r="L10" i="1"/>
  <c r="L11" i="1"/>
  <c r="L12" i="1"/>
  <c r="L4" i="1"/>
  <c r="M21" i="8"/>
  <c r="L21" i="8"/>
  <c r="K21" i="8"/>
  <c r="J21" i="8"/>
  <c r="I21" i="8"/>
  <c r="H21" i="8"/>
  <c r="G21" i="8"/>
  <c r="F21" i="8"/>
  <c r="E21" i="8"/>
  <c r="D21" i="8"/>
  <c r="C21" i="8"/>
  <c r="B2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D78" i="8"/>
  <c r="E78" i="8"/>
  <c r="F78" i="8"/>
  <c r="G78" i="8"/>
  <c r="H78" i="8"/>
  <c r="I78" i="8"/>
  <c r="J78" i="8"/>
  <c r="K78" i="8"/>
  <c r="L78" i="8"/>
  <c r="D79" i="8"/>
  <c r="E79" i="8"/>
  <c r="F79" i="8"/>
  <c r="G79" i="8"/>
  <c r="H79" i="8"/>
  <c r="I79" i="8"/>
  <c r="J79" i="8"/>
  <c r="K79" i="8"/>
  <c r="L79" i="8"/>
  <c r="D80" i="8"/>
  <c r="E80" i="8"/>
  <c r="F80" i="8"/>
  <c r="G80" i="8"/>
  <c r="H80" i="8"/>
  <c r="I80" i="8"/>
  <c r="J80" i="8"/>
  <c r="K80" i="8"/>
  <c r="L80" i="8"/>
  <c r="D81" i="8"/>
  <c r="E81" i="8"/>
  <c r="F81" i="8"/>
  <c r="G81" i="8"/>
  <c r="H81" i="8"/>
  <c r="I81" i="8"/>
  <c r="J81" i="8"/>
  <c r="K81" i="8"/>
  <c r="L81" i="8"/>
  <c r="D82" i="8"/>
  <c r="E82" i="8"/>
  <c r="F82" i="8"/>
  <c r="G82" i="8"/>
  <c r="H82" i="8"/>
  <c r="I82" i="8"/>
  <c r="J82" i="8"/>
  <c r="K82" i="8"/>
  <c r="L82" i="8"/>
  <c r="D83" i="8"/>
  <c r="E83" i="8"/>
  <c r="F83" i="8"/>
  <c r="G83" i="8"/>
  <c r="H83" i="8"/>
  <c r="I83" i="8"/>
  <c r="J83" i="8"/>
  <c r="K83" i="8"/>
  <c r="L83" i="8"/>
  <c r="C77" i="8"/>
  <c r="C78" i="8"/>
  <c r="C79" i="8"/>
  <c r="C80" i="8"/>
  <c r="C81" i="8"/>
  <c r="C82" i="8"/>
  <c r="C83" i="8"/>
  <c r="D108" i="8"/>
  <c r="E108" i="8"/>
  <c r="F108" i="8"/>
  <c r="G108" i="8"/>
  <c r="H108" i="8"/>
  <c r="I108" i="8"/>
  <c r="J108" i="8"/>
  <c r="K108" i="8"/>
  <c r="L108" i="8"/>
  <c r="D107" i="8"/>
  <c r="E107" i="8"/>
  <c r="F107" i="8"/>
  <c r="G107" i="8"/>
  <c r="H107" i="8"/>
  <c r="I107" i="8"/>
  <c r="J107" i="8"/>
  <c r="K107" i="8"/>
  <c r="L107" i="8"/>
  <c r="D106" i="8"/>
  <c r="E106" i="8"/>
  <c r="F106" i="8"/>
  <c r="G106" i="8"/>
  <c r="H106" i="8"/>
  <c r="I106" i="8"/>
  <c r="J106" i="8"/>
  <c r="K106" i="8"/>
  <c r="L106" i="8"/>
  <c r="D105" i="8"/>
  <c r="E105" i="8"/>
  <c r="F105" i="8"/>
  <c r="G105" i="8"/>
  <c r="H105" i="8"/>
  <c r="I105" i="8"/>
  <c r="J105" i="8"/>
  <c r="K105" i="8"/>
  <c r="L105" i="8"/>
  <c r="C105" i="8"/>
  <c r="C106" i="8"/>
  <c r="C107" i="8"/>
  <c r="C108" i="8"/>
  <c r="C104" i="8"/>
  <c r="D104" i="8"/>
  <c r="E104" i="8"/>
  <c r="F104" i="8"/>
  <c r="G104" i="8"/>
  <c r="H104" i="8"/>
  <c r="I104" i="8"/>
  <c r="J104" i="8"/>
  <c r="K104" i="8"/>
  <c r="L104" i="8"/>
  <c r="D103" i="8"/>
  <c r="E103" i="8"/>
  <c r="F103" i="8"/>
  <c r="G103" i="8"/>
  <c r="H103" i="8"/>
  <c r="I103" i="8"/>
  <c r="J103" i="8"/>
  <c r="K103" i="8"/>
  <c r="L103" i="8"/>
  <c r="C103" i="8"/>
  <c r="D101" i="8"/>
  <c r="E101" i="8"/>
  <c r="F101" i="8"/>
  <c r="G101" i="8"/>
  <c r="H101" i="8"/>
  <c r="I101" i="8"/>
  <c r="J101" i="8"/>
  <c r="K101" i="8"/>
  <c r="L101" i="8"/>
  <c r="C101" i="8"/>
  <c r="D88" i="8"/>
  <c r="E88" i="8"/>
  <c r="F88" i="8"/>
  <c r="G88" i="8"/>
  <c r="H88" i="8"/>
  <c r="I88" i="8"/>
  <c r="J88" i="8"/>
  <c r="K88" i="8"/>
  <c r="L88" i="8"/>
  <c r="C88" i="8"/>
  <c r="D89" i="8"/>
  <c r="E89" i="8"/>
  <c r="F89" i="8"/>
  <c r="G89" i="8"/>
  <c r="H89" i="8"/>
  <c r="I89" i="8"/>
  <c r="J89" i="8"/>
  <c r="K89" i="8"/>
  <c r="L89" i="8"/>
  <c r="C89" i="8"/>
  <c r="D90" i="8"/>
  <c r="E90" i="8"/>
  <c r="F90" i="8"/>
  <c r="G90" i="8"/>
  <c r="H90" i="8"/>
  <c r="I90" i="8"/>
  <c r="J90" i="8"/>
  <c r="K90" i="8"/>
  <c r="L90" i="8"/>
  <c r="C90" i="8"/>
  <c r="D91" i="8"/>
  <c r="E91" i="8"/>
  <c r="F91" i="8"/>
  <c r="G91" i="8"/>
  <c r="H91" i="8"/>
  <c r="I91" i="8"/>
  <c r="J91" i="8"/>
  <c r="K91" i="8"/>
  <c r="L91" i="8"/>
  <c r="C91" i="8"/>
  <c r="D92" i="8"/>
  <c r="E92" i="8"/>
  <c r="F92" i="8"/>
  <c r="G92" i="8"/>
  <c r="H92" i="8"/>
  <c r="I92" i="8"/>
  <c r="J92" i="8"/>
  <c r="K92" i="8"/>
  <c r="L92" i="8"/>
  <c r="C92" i="8"/>
  <c r="D93" i="8"/>
  <c r="E93" i="8"/>
  <c r="F93" i="8"/>
  <c r="G93" i="8"/>
  <c r="H93" i="8"/>
  <c r="I93" i="8"/>
  <c r="J93" i="8"/>
  <c r="K93" i="8"/>
  <c r="L93" i="8"/>
  <c r="C93" i="8"/>
  <c r="D94" i="8"/>
  <c r="E94" i="8"/>
  <c r="F94" i="8"/>
  <c r="G94" i="8"/>
  <c r="H94" i="8"/>
  <c r="I94" i="8"/>
  <c r="J94" i="8"/>
  <c r="K94" i="8"/>
  <c r="L94" i="8"/>
  <c r="C94" i="8"/>
  <c r="D95" i="8"/>
  <c r="E95" i="8"/>
  <c r="F95" i="8"/>
  <c r="G95" i="8"/>
  <c r="H95" i="8"/>
  <c r="I95" i="8"/>
  <c r="J95" i="8"/>
  <c r="K95" i="8"/>
  <c r="L95" i="8"/>
  <c r="C95" i="8"/>
  <c r="D97" i="8"/>
  <c r="E97" i="8"/>
  <c r="F97" i="8"/>
  <c r="G97" i="8"/>
  <c r="H97" i="8"/>
  <c r="I97" i="8"/>
  <c r="J97" i="8"/>
  <c r="K97" i="8"/>
  <c r="L97" i="8"/>
  <c r="C97" i="8"/>
  <c r="D87" i="8"/>
  <c r="E87" i="8"/>
  <c r="F87" i="8"/>
  <c r="G87" i="8"/>
  <c r="H87" i="8"/>
  <c r="I87" i="8"/>
  <c r="J87" i="8"/>
  <c r="K87" i="8"/>
  <c r="L87" i="8"/>
  <c r="C87" i="8"/>
  <c r="C76" i="8"/>
  <c r="C84" i="8" s="1"/>
  <c r="L2" i="16"/>
  <c r="G2" i="16"/>
  <c r="L5" i="16"/>
  <c r="M4" i="16"/>
  <c r="B2" i="16"/>
  <c r="G5" i="16"/>
  <c r="H4" i="16"/>
  <c r="C4" i="16"/>
  <c r="D4" i="16" a="1"/>
  <c r="B5" i="16"/>
  <c r="E14" i="15"/>
  <c r="E13" i="15"/>
  <c r="E12" i="15"/>
  <c r="E11" i="15"/>
  <c r="E10" i="15"/>
  <c r="E9" i="15"/>
  <c r="E8" i="15"/>
  <c r="E7" i="15"/>
  <c r="E6" i="15"/>
  <c r="E5" i="15"/>
  <c r="E4" i="15"/>
  <c r="C4" i="15"/>
  <c r="B4" i="15"/>
  <c r="Q25" i="8"/>
  <c r="R25" i="8"/>
  <c r="S25" i="8"/>
  <c r="T25" i="8"/>
  <c r="U25" i="8"/>
  <c r="V25" i="8"/>
  <c r="W25" i="8"/>
  <c r="X25" i="8"/>
  <c r="Y25" i="8"/>
  <c r="Z25" i="8"/>
  <c r="AA25" i="8"/>
  <c r="D119" i="8"/>
  <c r="E119" i="8"/>
  <c r="F119" i="8"/>
  <c r="G119" i="8"/>
  <c r="H119" i="8"/>
  <c r="I119" i="8"/>
  <c r="J119" i="8"/>
  <c r="K119" i="8"/>
  <c r="L119" i="8"/>
  <c r="C119" i="8"/>
  <c r="D117" i="8"/>
  <c r="E117" i="8"/>
  <c r="F117" i="8"/>
  <c r="G117" i="8"/>
  <c r="H117" i="8"/>
  <c r="I117" i="8"/>
  <c r="J117" i="8"/>
  <c r="K117" i="8"/>
  <c r="L117" i="8"/>
  <c r="C117" i="8"/>
  <c r="D115" i="8"/>
  <c r="E115" i="8"/>
  <c r="F115" i="8"/>
  <c r="G115" i="8"/>
  <c r="H115" i="8"/>
  <c r="I115" i="8"/>
  <c r="J115" i="8"/>
  <c r="K115" i="8"/>
  <c r="L115" i="8"/>
  <c r="C115" i="8"/>
  <c r="B2" i="12"/>
  <c r="L3" i="12"/>
  <c r="K3" i="12"/>
  <c r="J3" i="12"/>
  <c r="I3" i="12"/>
  <c r="H3" i="12"/>
  <c r="G3" i="12"/>
  <c r="F3" i="12"/>
  <c r="E3" i="12"/>
  <c r="D3" i="12"/>
  <c r="C3" i="12"/>
  <c r="M41" i="8"/>
  <c r="C35" i="8"/>
  <c r="M23" i="8"/>
  <c r="M9" i="8"/>
  <c r="G9" i="8"/>
  <c r="H9" i="8"/>
  <c r="I9" i="8"/>
  <c r="J9" i="8"/>
  <c r="K9" i="8"/>
  <c r="L9" i="8"/>
  <c r="D9" i="8"/>
  <c r="E9" i="8"/>
  <c r="M6" i="8"/>
  <c r="D62" i="8"/>
  <c r="E62" i="8"/>
  <c r="F62" i="8"/>
  <c r="G62" i="8"/>
  <c r="H62" i="8"/>
  <c r="I62" i="8"/>
  <c r="J62" i="8"/>
  <c r="K62" i="8"/>
  <c r="L62" i="8"/>
  <c r="C62" i="8"/>
  <c r="D65" i="8"/>
  <c r="E65" i="8"/>
  <c r="F65" i="8"/>
  <c r="G65" i="8"/>
  <c r="H65" i="8"/>
  <c r="I65" i="8"/>
  <c r="J65" i="8"/>
  <c r="K65" i="8"/>
  <c r="L65" i="8"/>
  <c r="D66" i="8"/>
  <c r="E66" i="8"/>
  <c r="F66" i="8"/>
  <c r="G66" i="8"/>
  <c r="H66" i="8"/>
  <c r="I66" i="8"/>
  <c r="J66" i="8"/>
  <c r="K66" i="8"/>
  <c r="L66" i="8"/>
  <c r="D67" i="8"/>
  <c r="E67" i="8"/>
  <c r="F67" i="8"/>
  <c r="G67" i="8"/>
  <c r="H67" i="8"/>
  <c r="I67" i="8"/>
  <c r="J67" i="8"/>
  <c r="K67" i="8"/>
  <c r="L67" i="8"/>
  <c r="C66" i="8"/>
  <c r="C67" i="8"/>
  <c r="C65" i="8"/>
  <c r="D59" i="8"/>
  <c r="E59" i="8"/>
  <c r="F59" i="8"/>
  <c r="G59" i="8"/>
  <c r="H59" i="8"/>
  <c r="I59" i="8"/>
  <c r="J59" i="8"/>
  <c r="K59" i="8"/>
  <c r="L59" i="8"/>
  <c r="D60" i="8"/>
  <c r="E60" i="8"/>
  <c r="F60" i="8"/>
  <c r="G60" i="8"/>
  <c r="H60" i="8"/>
  <c r="I60" i="8"/>
  <c r="J60" i="8"/>
  <c r="K60" i="8"/>
  <c r="L60" i="8"/>
  <c r="D61" i="8"/>
  <c r="E61" i="8"/>
  <c r="F61" i="8"/>
  <c r="G61" i="8"/>
  <c r="H61" i="8"/>
  <c r="I61" i="8"/>
  <c r="J61" i="8"/>
  <c r="K61" i="8"/>
  <c r="L61" i="8"/>
  <c r="C60" i="8"/>
  <c r="C61" i="8"/>
  <c r="C59" i="8"/>
  <c r="C57" i="8"/>
  <c r="D57" i="8"/>
  <c r="E57" i="8"/>
  <c r="F57" i="8"/>
  <c r="G57" i="8"/>
  <c r="H57" i="8"/>
  <c r="I57" i="8"/>
  <c r="J57" i="8"/>
  <c r="K57" i="8"/>
  <c r="L57" i="8"/>
  <c r="C54" i="8"/>
  <c r="D54" i="8"/>
  <c r="E54" i="8"/>
  <c r="F54" i="8"/>
  <c r="G54" i="8"/>
  <c r="H54" i="8"/>
  <c r="I54" i="8"/>
  <c r="J54" i="8"/>
  <c r="K54" i="8"/>
  <c r="L54" i="8"/>
  <c r="C55" i="8"/>
  <c r="D55" i="8"/>
  <c r="E55" i="8"/>
  <c r="F55" i="8"/>
  <c r="G55" i="8"/>
  <c r="H55" i="8"/>
  <c r="I55" i="8"/>
  <c r="J55" i="8"/>
  <c r="K55" i="8"/>
  <c r="L55" i="8"/>
  <c r="C56" i="8"/>
  <c r="D56" i="8"/>
  <c r="E56" i="8"/>
  <c r="F56" i="8"/>
  <c r="G56" i="8"/>
  <c r="H56" i="8"/>
  <c r="I56" i="8"/>
  <c r="J56" i="8"/>
  <c r="K56" i="8"/>
  <c r="L56" i="8"/>
  <c r="D53" i="8"/>
  <c r="E53" i="8"/>
  <c r="F53" i="8"/>
  <c r="G53" i="8"/>
  <c r="H53" i="8"/>
  <c r="I53" i="8"/>
  <c r="J53" i="8"/>
  <c r="K53" i="8"/>
  <c r="L53" i="8"/>
  <c r="C53" i="8"/>
  <c r="D41" i="8"/>
  <c r="E41" i="8"/>
  <c r="F41" i="8"/>
  <c r="G41" i="8"/>
  <c r="H41" i="8"/>
  <c r="I41" i="8"/>
  <c r="J41" i="8"/>
  <c r="K41" i="8"/>
  <c r="L41" i="8"/>
  <c r="C41" i="8"/>
  <c r="C46" i="8" s="1"/>
  <c r="M35" i="8"/>
  <c r="D35" i="8"/>
  <c r="E35" i="8"/>
  <c r="F35" i="8"/>
  <c r="G35" i="8"/>
  <c r="H35" i="8"/>
  <c r="I35" i="8"/>
  <c r="J35" i="8"/>
  <c r="K35" i="8"/>
  <c r="L35" i="8"/>
  <c r="C26" i="8"/>
  <c r="K6" i="8"/>
  <c r="L6" i="8"/>
  <c r="C6" i="8"/>
  <c r="D6" i="8"/>
  <c r="E6" i="8"/>
  <c r="F6" i="8"/>
  <c r="G6" i="8"/>
  <c r="H6" i="8"/>
  <c r="I6" i="8"/>
  <c r="J6" i="8"/>
  <c r="E7" i="8"/>
  <c r="F7" i="8"/>
  <c r="G7" i="8"/>
  <c r="H7" i="8"/>
  <c r="I7" i="8"/>
  <c r="J7" i="8"/>
  <c r="K7" i="8"/>
  <c r="L7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I16" i="8"/>
  <c r="J16" i="8"/>
  <c r="K16" i="8"/>
  <c r="C23" i="8"/>
  <c r="D23" i="8"/>
  <c r="E23" i="8"/>
  <c r="F23" i="8"/>
  <c r="G23" i="8"/>
  <c r="H23" i="8"/>
  <c r="I23" i="8"/>
  <c r="J23" i="8"/>
  <c r="K23" i="8"/>
  <c r="L23" i="8"/>
  <c r="D26" i="8"/>
  <c r="E26" i="8"/>
  <c r="F26" i="8"/>
  <c r="G26" i="8"/>
  <c r="H26" i="8"/>
  <c r="I26" i="8"/>
  <c r="J26" i="8"/>
  <c r="K26" i="8"/>
  <c r="L26" i="8"/>
  <c r="D3" i="8"/>
  <c r="E3" i="8"/>
  <c r="F3" i="8"/>
  <c r="G3" i="8"/>
  <c r="H3" i="8"/>
  <c r="I3" i="8"/>
  <c r="J3" i="8"/>
  <c r="K3" i="8"/>
  <c r="L3" i="8"/>
  <c r="C3" i="8"/>
  <c r="C5" i="1"/>
  <c r="D5" i="1"/>
  <c r="E5" i="1"/>
  <c r="F5" i="1"/>
  <c r="G5" i="1"/>
  <c r="H5" i="1"/>
  <c r="I5" i="1"/>
  <c r="J5" i="1"/>
  <c r="K5" i="1"/>
  <c r="B5" i="1"/>
  <c r="B6" i="6"/>
  <c r="L13" i="1" s="1"/>
  <c r="L14" i="1" s="1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H1" i="1"/>
  <c r="C3" i="1"/>
  <c r="D3" i="1"/>
  <c r="E3" i="1"/>
  <c r="F3" i="1"/>
  <c r="G3" i="1"/>
  <c r="H3" i="1"/>
  <c r="I3" i="1"/>
  <c r="J3" i="1"/>
  <c r="K3" i="1"/>
  <c r="L15" i="1"/>
  <c r="B12" i="1"/>
  <c r="B13" i="1" s="1"/>
  <c r="B11" i="1"/>
  <c r="B10" i="1"/>
  <c r="B9" i="1"/>
  <c r="B8" i="1"/>
  <c r="B3" i="1"/>
  <c r="N11" i="1"/>
  <c r="M11" i="1"/>
  <c r="G36" i="22" l="1"/>
  <c r="H15" i="22"/>
  <c r="I15" i="22"/>
  <c r="J15" i="22"/>
  <c r="K15" i="22"/>
  <c r="E38" i="17"/>
  <c r="F38" i="17"/>
  <c r="G38" i="17"/>
  <c r="H38" i="17"/>
  <c r="I38" i="17"/>
  <c r="J38" i="17"/>
  <c r="K38" i="17"/>
  <c r="L38" i="17"/>
  <c r="C38" i="17"/>
  <c r="H9" i="22"/>
  <c r="D34" i="17"/>
  <c r="D39" i="17"/>
  <c r="D41" i="17"/>
  <c r="D35" i="17"/>
  <c r="D36" i="17"/>
  <c r="D40" i="17"/>
  <c r="D37" i="17"/>
  <c r="E34" i="17"/>
  <c r="E39" i="17"/>
  <c r="E41" i="17"/>
  <c r="E36" i="17"/>
  <c r="E40" i="17"/>
  <c r="E35" i="17"/>
  <c r="E37" i="17"/>
  <c r="F34" i="17"/>
  <c r="F39" i="17"/>
  <c r="F41" i="17"/>
  <c r="F40" i="17"/>
  <c r="F35" i="17"/>
  <c r="F37" i="17"/>
  <c r="F36" i="17"/>
  <c r="G34" i="17"/>
  <c r="G39" i="17"/>
  <c r="G36" i="17"/>
  <c r="G37" i="17"/>
  <c r="G40" i="17"/>
  <c r="G41" i="17"/>
  <c r="G35" i="17"/>
  <c r="H34" i="17"/>
  <c r="H39" i="17"/>
  <c r="H40" i="17"/>
  <c r="H35" i="17"/>
  <c r="H41" i="17"/>
  <c r="H36" i="17"/>
  <c r="H37" i="17"/>
  <c r="I34" i="17"/>
  <c r="I39" i="17"/>
  <c r="I35" i="17"/>
  <c r="I41" i="17"/>
  <c r="I36" i="17"/>
  <c r="I40" i="17"/>
  <c r="I37" i="17"/>
  <c r="J34" i="17"/>
  <c r="J39" i="17"/>
  <c r="J41" i="17"/>
  <c r="J35" i="17"/>
  <c r="J36" i="17"/>
  <c r="J40" i="17"/>
  <c r="J37" i="17"/>
  <c r="K39" i="17"/>
  <c r="K41" i="17"/>
  <c r="K35" i="17"/>
  <c r="K40" i="17"/>
  <c r="K36" i="17"/>
  <c r="L39" i="17"/>
  <c r="L41" i="17"/>
  <c r="L35" i="17"/>
  <c r="L40" i="17"/>
  <c r="L36" i="17"/>
  <c r="C41" i="17"/>
  <c r="C40" i="17"/>
  <c r="C39" i="17"/>
  <c r="I9" i="22"/>
  <c r="J9" i="22"/>
  <c r="K9" i="22"/>
  <c r="N7" i="20"/>
  <c r="N8" i="20"/>
  <c r="J6" i="20" s="1"/>
  <c r="J12" i="20" s="1"/>
  <c r="K37" i="17"/>
  <c r="K34" i="17"/>
  <c r="L37" i="17"/>
  <c r="L34" i="17"/>
  <c r="C36" i="17"/>
  <c r="C37" i="17"/>
  <c r="C35" i="17"/>
  <c r="C34" i="17"/>
  <c r="K21" i="19"/>
  <c r="K34" i="19" s="1"/>
  <c r="K20" i="19"/>
  <c r="D35" i="19"/>
  <c r="D36" i="19"/>
  <c r="D37" i="19"/>
  <c r="E37" i="19" s="1"/>
  <c r="E36" i="19" s="1"/>
  <c r="E109" i="8"/>
  <c r="G109" i="8"/>
  <c r="I109" i="8"/>
  <c r="K109" i="8"/>
  <c r="C109" i="8"/>
  <c r="D109" i="8"/>
  <c r="F109" i="8"/>
  <c r="H109" i="8"/>
  <c r="J109" i="8"/>
  <c r="L109" i="8"/>
  <c r="D39" i="12"/>
  <c r="E39" i="12"/>
  <c r="F39" i="12"/>
  <c r="G39" i="12"/>
  <c r="H39" i="12"/>
  <c r="I39" i="12"/>
  <c r="J39" i="12"/>
  <c r="K39" i="12"/>
  <c r="L39" i="12"/>
  <c r="D41" i="12"/>
  <c r="E41" i="12"/>
  <c r="F41" i="12"/>
  <c r="G41" i="12"/>
  <c r="H41" i="12"/>
  <c r="I41" i="12"/>
  <c r="J41" i="12"/>
  <c r="K41" i="12"/>
  <c r="L41" i="12"/>
  <c r="C41" i="12"/>
  <c r="N41" i="12" s="1"/>
  <c r="C39" i="12"/>
  <c r="N39" i="12" s="1"/>
  <c r="D28" i="12"/>
  <c r="D35" i="12" s="1"/>
  <c r="E28" i="12"/>
  <c r="E35" i="12" s="1"/>
  <c r="F28" i="12"/>
  <c r="F35" i="12" s="1"/>
  <c r="G28" i="12"/>
  <c r="G35" i="12" s="1"/>
  <c r="H28" i="12"/>
  <c r="H35" i="12" s="1"/>
  <c r="I28" i="12"/>
  <c r="I35" i="12" s="1"/>
  <c r="J28" i="12"/>
  <c r="J35" i="12" s="1"/>
  <c r="K28" i="12"/>
  <c r="K35" i="12" s="1"/>
  <c r="L28" i="12"/>
  <c r="L35" i="12" s="1"/>
  <c r="D30" i="12"/>
  <c r="E30" i="12"/>
  <c r="F30" i="12"/>
  <c r="G30" i="12"/>
  <c r="H30" i="12"/>
  <c r="I30" i="12"/>
  <c r="J30" i="12"/>
  <c r="K30" i="12"/>
  <c r="L30" i="12"/>
  <c r="D31" i="12"/>
  <c r="E31" i="12"/>
  <c r="F31" i="12"/>
  <c r="G31" i="12"/>
  <c r="H31" i="12"/>
  <c r="I31" i="12"/>
  <c r="J31" i="12"/>
  <c r="K31" i="12"/>
  <c r="L31" i="12"/>
  <c r="C31" i="12"/>
  <c r="N31" i="12" s="1"/>
  <c r="C30" i="12"/>
  <c r="N30" i="12" s="1"/>
  <c r="C28" i="12"/>
  <c r="C27" i="12"/>
  <c r="C34" i="12" s="1"/>
  <c r="C29" i="12"/>
  <c r="C36" i="12" s="1"/>
  <c r="C5" i="16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F27" i="12"/>
  <c r="I27" i="12"/>
  <c r="F29" i="12"/>
  <c r="J29" i="12"/>
  <c r="E5" i="12"/>
  <c r="F5" i="12"/>
  <c r="G5" i="12"/>
  <c r="H5" i="12"/>
  <c r="I5" i="12"/>
  <c r="J5" i="12"/>
  <c r="K5" i="12"/>
  <c r="L5" i="12"/>
  <c r="K17" i="12"/>
  <c r="J17" i="12"/>
  <c r="I17" i="12"/>
  <c r="G17" i="12"/>
  <c r="F17" i="12"/>
  <c r="E17" i="12"/>
  <c r="D17" i="12"/>
  <c r="C17" i="12"/>
  <c r="I6" i="1"/>
  <c r="I19" i="1" s="1"/>
  <c r="J6" i="1"/>
  <c r="J19" i="1" s="1"/>
  <c r="K6" i="1"/>
  <c r="K19" i="1" s="1"/>
  <c r="G6" i="1"/>
  <c r="G19" i="1" s="1"/>
  <c r="D6" i="1"/>
  <c r="D19" i="1" s="1"/>
  <c r="B6" i="1"/>
  <c r="B19" i="1" s="1"/>
  <c r="H23" i="1"/>
  <c r="I23" i="1"/>
  <c r="J23" i="1"/>
  <c r="D27" i="12"/>
  <c r="E27" i="12"/>
  <c r="H27" i="12"/>
  <c r="K27" i="12"/>
  <c r="G29" i="12"/>
  <c r="K29" i="12"/>
  <c r="G27" i="12"/>
  <c r="J27" i="12"/>
  <c r="J34" i="12" s="1"/>
  <c r="L27" i="12"/>
  <c r="L34" i="12" s="1"/>
  <c r="D29" i="12"/>
  <c r="E29" i="12"/>
  <c r="H29" i="12"/>
  <c r="I29" i="12"/>
  <c r="L29" i="12"/>
  <c r="L6" i="16"/>
  <c r="L7" i="16" s="1"/>
  <c r="L8" i="16" s="1"/>
  <c r="L9" i="16" s="1"/>
  <c r="L10" i="16" s="1"/>
  <c r="L11" i="16" s="1"/>
  <c r="L12" i="16" s="1"/>
  <c r="L13" i="16" s="1"/>
  <c r="L14" i="16" s="1"/>
  <c r="M5" i="16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G6" i="16"/>
  <c r="G7" i="16" s="1"/>
  <c r="G8" i="16" s="1"/>
  <c r="G9" i="16" s="1"/>
  <c r="G10" i="16" s="1"/>
  <c r="G11" i="16" s="1"/>
  <c r="G12" i="16" s="1"/>
  <c r="G13" i="16" s="1"/>
  <c r="G14" i="16" s="1"/>
  <c r="H5" i="16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D4" i="16"/>
  <c r="D5" i="16"/>
  <c r="E5" i="16" s="1"/>
  <c r="D6" i="16"/>
  <c r="E6" i="16" s="1"/>
  <c r="D7" i="16"/>
  <c r="E7" i="16" s="1"/>
  <c r="D8" i="16"/>
  <c r="D9" i="16"/>
  <c r="E9" i="16" s="1"/>
  <c r="D10" i="16"/>
  <c r="E10" i="16" s="1"/>
  <c r="D11" i="16"/>
  <c r="E11" i="16" s="1"/>
  <c r="D12" i="16"/>
  <c r="E12" i="16" s="1"/>
  <c r="D13" i="16"/>
  <c r="E13" i="16" s="1"/>
  <c r="B6" i="16"/>
  <c r="B7" i="16" s="1"/>
  <c r="B8" i="16" s="1"/>
  <c r="B9" i="16" s="1"/>
  <c r="B10" i="16" s="1"/>
  <c r="B11" i="16" s="1"/>
  <c r="B12" i="16" s="1"/>
  <c r="B13" i="16" s="1"/>
  <c r="B14" i="16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C5" i="15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D121" i="8"/>
  <c r="E121" i="8"/>
  <c r="F121" i="8"/>
  <c r="G121" i="8"/>
  <c r="H121" i="8"/>
  <c r="I121" i="8"/>
  <c r="J121" i="8"/>
  <c r="K121" i="8"/>
  <c r="L121" i="8"/>
  <c r="C121" i="8"/>
  <c r="D10" i="8"/>
  <c r="E10" i="8"/>
  <c r="F10" i="8"/>
  <c r="G10" i="8"/>
  <c r="H10" i="8"/>
  <c r="I10" i="8"/>
  <c r="J10" i="8"/>
  <c r="K10" i="8"/>
  <c r="L10" i="8"/>
  <c r="C10" i="8"/>
  <c r="D7" i="8"/>
  <c r="D5" i="12" s="1"/>
  <c r="D98" i="8"/>
  <c r="E98" i="8"/>
  <c r="F98" i="8"/>
  <c r="G98" i="8"/>
  <c r="H98" i="8"/>
  <c r="I98" i="8"/>
  <c r="J98" i="8"/>
  <c r="K98" i="8"/>
  <c r="L98" i="8"/>
  <c r="C98" i="8"/>
  <c r="D84" i="8"/>
  <c r="E84" i="8"/>
  <c r="F84" i="8"/>
  <c r="G84" i="8"/>
  <c r="H84" i="8"/>
  <c r="I84" i="8"/>
  <c r="J84" i="8"/>
  <c r="K84" i="8"/>
  <c r="L84" i="8"/>
  <c r="D68" i="8"/>
  <c r="E68" i="8"/>
  <c r="F68" i="8"/>
  <c r="G68" i="8"/>
  <c r="H68" i="8"/>
  <c r="I68" i="8"/>
  <c r="J68" i="8"/>
  <c r="K68" i="8"/>
  <c r="L68" i="8"/>
  <c r="D63" i="8"/>
  <c r="E63" i="8"/>
  <c r="F63" i="8"/>
  <c r="G63" i="8"/>
  <c r="H63" i="8"/>
  <c r="I63" i="8"/>
  <c r="J63" i="8"/>
  <c r="K63" i="8"/>
  <c r="L63" i="8"/>
  <c r="C63" i="8"/>
  <c r="C68" i="8"/>
  <c r="C70" i="8" s="1"/>
  <c r="M10" i="8"/>
  <c r="K12" i="8"/>
  <c r="K18" i="8" s="1"/>
  <c r="K32" i="8" s="1"/>
  <c r="D12" i="8"/>
  <c r="D18" i="8" s="1"/>
  <c r="D32" i="8" s="1"/>
  <c r="E12" i="8"/>
  <c r="E18" i="8" s="1"/>
  <c r="E32" i="8" s="1"/>
  <c r="F12" i="8"/>
  <c r="F18" i="8" s="1"/>
  <c r="F32" i="8" s="1"/>
  <c r="G12" i="8"/>
  <c r="G18" i="8" s="1"/>
  <c r="G32" i="8" s="1"/>
  <c r="H12" i="8"/>
  <c r="H18" i="8" s="1"/>
  <c r="H32" i="8" s="1"/>
  <c r="I12" i="8"/>
  <c r="I18" i="8" s="1"/>
  <c r="I32" i="8" s="1"/>
  <c r="J12" i="8"/>
  <c r="J18" i="8" s="1"/>
  <c r="J32" i="8" s="1"/>
  <c r="D46" i="8"/>
  <c r="D9" i="12" s="1"/>
  <c r="E46" i="8"/>
  <c r="E9" i="12" s="1"/>
  <c r="F46" i="8"/>
  <c r="F9" i="12" s="1"/>
  <c r="G46" i="8"/>
  <c r="G9" i="12" s="1"/>
  <c r="H46" i="8"/>
  <c r="H9" i="12" s="1"/>
  <c r="I46" i="8"/>
  <c r="I9" i="12" s="1"/>
  <c r="J46" i="8"/>
  <c r="K46" i="8"/>
  <c r="K9" i="12" s="1"/>
  <c r="L46" i="8"/>
  <c r="L9" i="12" s="1"/>
  <c r="M46" i="8"/>
  <c r="C12" i="8"/>
  <c r="M12" i="8"/>
  <c r="M18" i="8" s="1"/>
  <c r="M32" i="8" s="1"/>
  <c r="L16" i="8"/>
  <c r="L17" i="12" s="1"/>
  <c r="H16" i="8"/>
  <c r="H17" i="12" s="1"/>
  <c r="L24" i="8"/>
  <c r="M7" i="8"/>
  <c r="M27" i="8"/>
  <c r="D27" i="8"/>
  <c r="D18" i="12" s="1"/>
  <c r="E27" i="8"/>
  <c r="E18" i="12" s="1"/>
  <c r="F27" i="8"/>
  <c r="F18" i="12" s="1"/>
  <c r="G27" i="8"/>
  <c r="G18" i="12" s="1"/>
  <c r="H27" i="8"/>
  <c r="H18" i="12" s="1"/>
  <c r="I27" i="8"/>
  <c r="I18" i="12" s="1"/>
  <c r="J27" i="8"/>
  <c r="J18" i="12" s="1"/>
  <c r="K27" i="8"/>
  <c r="K18" i="12" s="1"/>
  <c r="L27" i="8"/>
  <c r="L18" i="12" s="1"/>
  <c r="C27" i="8"/>
  <c r="C18" i="12" s="1"/>
  <c r="N18" i="12" s="1"/>
  <c r="D24" i="8"/>
  <c r="E24" i="8"/>
  <c r="F24" i="8"/>
  <c r="G24" i="8"/>
  <c r="H24" i="8"/>
  <c r="I24" i="8"/>
  <c r="J24" i="8"/>
  <c r="K24" i="8"/>
  <c r="L12" i="8"/>
  <c r="L13" i="8" s="1"/>
  <c r="L11" i="12" s="1"/>
  <c r="C24" i="8"/>
  <c r="B14" i="1"/>
  <c r="H13" i="1"/>
  <c r="H14" i="1" s="1"/>
  <c r="I13" i="1"/>
  <c r="I14" i="1" s="1"/>
  <c r="L25" i="1"/>
  <c r="L23" i="1"/>
  <c r="D13" i="1"/>
  <c r="K13" i="1"/>
  <c r="K14" i="1" s="1"/>
  <c r="C13" i="1"/>
  <c r="C14" i="1" s="1"/>
  <c r="F13" i="1"/>
  <c r="F14" i="1" s="1"/>
  <c r="G13" i="1"/>
  <c r="G14" i="1" s="1"/>
  <c r="J25" i="1" s="1"/>
  <c r="J13" i="1"/>
  <c r="J14" i="1" s="1"/>
  <c r="E6" i="1"/>
  <c r="E19" i="1" s="1"/>
  <c r="C6" i="1"/>
  <c r="C19" i="1" s="1"/>
  <c r="L19" i="1"/>
  <c r="L24" i="1" s="1"/>
  <c r="M9" i="1"/>
  <c r="N9" i="1"/>
  <c r="K23" i="1"/>
  <c r="H6" i="1"/>
  <c r="H19" i="1" s="1"/>
  <c r="F6" i="1"/>
  <c r="F19" i="1" s="1"/>
  <c r="E8" i="16" l="1"/>
  <c r="N28" i="12"/>
  <c r="C35" i="12"/>
  <c r="J9" i="12"/>
  <c r="D39" i="19"/>
  <c r="K43" i="19"/>
  <c r="E39" i="19"/>
  <c r="K35" i="19" s="1"/>
  <c r="K37" i="19" s="1"/>
  <c r="K28" i="19" s="1"/>
  <c r="K29" i="19" s="1"/>
  <c r="J43" i="19" s="1"/>
  <c r="K44" i="19" s="1"/>
  <c r="D13" i="8"/>
  <c r="D11" i="12" s="1"/>
  <c r="F13" i="8"/>
  <c r="F11" i="12" s="1"/>
  <c r="D34" i="12"/>
  <c r="E34" i="12"/>
  <c r="F34" i="12"/>
  <c r="G34" i="12"/>
  <c r="H34" i="12"/>
  <c r="I34" i="12"/>
  <c r="K34" i="12"/>
  <c r="K24" i="1"/>
  <c r="M24" i="1" s="1"/>
  <c r="N27" i="12"/>
  <c r="D36" i="12"/>
  <c r="E36" i="12"/>
  <c r="E37" i="12" s="1"/>
  <c r="F36" i="12"/>
  <c r="G36" i="12"/>
  <c r="H36" i="12"/>
  <c r="I36" i="12"/>
  <c r="J36" i="12"/>
  <c r="J37" i="12" s="1"/>
  <c r="K36" i="12"/>
  <c r="L36" i="12"/>
  <c r="L37" i="12" s="1"/>
  <c r="C18" i="16"/>
  <c r="N29" i="12"/>
  <c r="D111" i="8"/>
  <c r="E111" i="8"/>
  <c r="F111" i="8"/>
  <c r="H13" i="8"/>
  <c r="H11" i="12" s="1"/>
  <c r="K13" i="8"/>
  <c r="K11" i="12" s="1"/>
  <c r="E13" i="8"/>
  <c r="E11" i="12" s="1"/>
  <c r="G13" i="8"/>
  <c r="G11" i="12" s="1"/>
  <c r="I13" i="8"/>
  <c r="I11" i="12" s="1"/>
  <c r="J13" i="8"/>
  <c r="J11" i="12" s="1"/>
  <c r="G19" i="8"/>
  <c r="G12" i="12" s="1"/>
  <c r="H19" i="8"/>
  <c r="H12" i="12" s="1"/>
  <c r="I19" i="8"/>
  <c r="I12" i="12" s="1"/>
  <c r="J19" i="8"/>
  <c r="J12" i="12" s="1"/>
  <c r="K19" i="8"/>
  <c r="K12" i="12" s="1"/>
  <c r="K25" i="1"/>
  <c r="M25" i="1" s="1"/>
  <c r="M14" i="1" s="1"/>
  <c r="B15" i="16"/>
  <c r="D14" i="16"/>
  <c r="E14" i="16" s="1"/>
  <c r="D15" i="15"/>
  <c r="E15" i="15" s="1"/>
  <c r="B16" i="15"/>
  <c r="N5" i="12"/>
  <c r="O5" i="12"/>
  <c r="C72" i="8"/>
  <c r="C40" i="12"/>
  <c r="K6" i="12"/>
  <c r="K29" i="8"/>
  <c r="K25" i="12"/>
  <c r="D25" i="12"/>
  <c r="D29" i="8"/>
  <c r="E25" i="12"/>
  <c r="E6" i="12"/>
  <c r="E29" i="8"/>
  <c r="F29" i="8"/>
  <c r="F25" i="12"/>
  <c r="F6" i="12"/>
  <c r="G25" i="12"/>
  <c r="G29" i="8"/>
  <c r="G6" i="12"/>
  <c r="H25" i="12"/>
  <c r="H29" i="8"/>
  <c r="H6" i="12"/>
  <c r="I25" i="12"/>
  <c r="I6" i="12"/>
  <c r="I29" i="8"/>
  <c r="J6" i="12"/>
  <c r="J29" i="8"/>
  <c r="J25" i="12"/>
  <c r="M38" i="8"/>
  <c r="M43" i="8" s="1"/>
  <c r="M29" i="8"/>
  <c r="M30" i="8" s="1"/>
  <c r="N17" i="12"/>
  <c r="L15" i="16"/>
  <c r="G15" i="16"/>
  <c r="G111" i="8"/>
  <c r="K13" i="12"/>
  <c r="K19" i="12" s="1"/>
  <c r="D13" i="12"/>
  <c r="E13" i="12"/>
  <c r="E19" i="12" s="1"/>
  <c r="F13" i="12"/>
  <c r="F19" i="12" s="1"/>
  <c r="G13" i="12"/>
  <c r="G19" i="12" s="1"/>
  <c r="H13" i="12"/>
  <c r="H19" i="12" s="1"/>
  <c r="I13" i="12"/>
  <c r="I19" i="12" s="1"/>
  <c r="J13" i="12"/>
  <c r="J19" i="12" s="1"/>
  <c r="M19" i="8"/>
  <c r="H111" i="8"/>
  <c r="I111" i="8"/>
  <c r="J111" i="8"/>
  <c r="K111" i="8"/>
  <c r="L111" i="8"/>
  <c r="C111" i="8"/>
  <c r="D70" i="8"/>
  <c r="E70" i="8"/>
  <c r="F70" i="8"/>
  <c r="G70" i="8"/>
  <c r="H70" i="8"/>
  <c r="I70" i="8"/>
  <c r="J70" i="8"/>
  <c r="K70" i="8"/>
  <c r="L70" i="8"/>
  <c r="M24" i="8"/>
  <c r="E19" i="8"/>
  <c r="E12" i="12" s="1"/>
  <c r="D19" i="8"/>
  <c r="D12" i="12" s="1"/>
  <c r="F19" i="8"/>
  <c r="F12" i="12" s="1"/>
  <c r="L18" i="8"/>
  <c r="L32" i="8" s="1"/>
  <c r="C13" i="8"/>
  <c r="C11" i="12" s="1"/>
  <c r="C18" i="8"/>
  <c r="C32" i="8" s="1"/>
  <c r="M13" i="8"/>
  <c r="N8" i="1"/>
  <c r="M8" i="1"/>
  <c r="N23" i="1"/>
  <c r="N4" i="1" s="1"/>
  <c r="D14" i="1"/>
  <c r="E13" i="1"/>
  <c r="E14" i="1" s="1"/>
  <c r="I25" i="1" s="1"/>
  <c r="I24" i="1"/>
  <c r="H24" i="1"/>
  <c r="J24" i="1"/>
  <c r="M23" i="1"/>
  <c r="M4" i="1" s="1"/>
  <c r="F37" i="12" l="1"/>
  <c r="G37" i="12"/>
  <c r="H37" i="12"/>
  <c r="N35" i="12"/>
  <c r="C37" i="12"/>
  <c r="N9" i="12"/>
  <c r="O9" i="12"/>
  <c r="I37" i="12"/>
  <c r="N24" i="1"/>
  <c r="N6" i="1" s="1"/>
  <c r="D6" i="12"/>
  <c r="N11" i="12"/>
  <c r="K37" i="12"/>
  <c r="N34" i="12"/>
  <c r="N36" i="12"/>
  <c r="D37" i="12"/>
  <c r="D15" i="16"/>
  <c r="E15" i="16" s="1"/>
  <c r="B16" i="16"/>
  <c r="B17" i="15"/>
  <c r="D16" i="15"/>
  <c r="E16" i="15" s="1"/>
  <c r="K21" i="12"/>
  <c r="K30" i="8"/>
  <c r="K38" i="8"/>
  <c r="K7" i="12"/>
  <c r="D38" i="8"/>
  <c r="D21" i="12"/>
  <c r="D30" i="8"/>
  <c r="E38" i="8"/>
  <c r="E7" i="12"/>
  <c r="E21" i="12"/>
  <c r="E30" i="8"/>
  <c r="F38" i="8"/>
  <c r="F7" i="12"/>
  <c r="F21" i="12"/>
  <c r="F30" i="8"/>
  <c r="G38" i="8"/>
  <c r="G7" i="12"/>
  <c r="G21" i="12"/>
  <c r="G30" i="8"/>
  <c r="H38" i="8"/>
  <c r="H7" i="12"/>
  <c r="H21" i="12"/>
  <c r="H30" i="8"/>
  <c r="I38" i="8"/>
  <c r="I7" i="12"/>
  <c r="I21" i="12"/>
  <c r="I30" i="8"/>
  <c r="J21" i="12"/>
  <c r="J30" i="8"/>
  <c r="J38" i="8"/>
  <c r="J7" i="12"/>
  <c r="H25" i="1"/>
  <c r="N25" i="1" s="1"/>
  <c r="N14" i="1" s="1"/>
  <c r="D19" i="12"/>
  <c r="D72" i="8"/>
  <c r="D40" i="12"/>
  <c r="E72" i="8"/>
  <c r="E40" i="12"/>
  <c r="F72" i="8"/>
  <c r="F40" i="12"/>
  <c r="G72" i="8"/>
  <c r="G40" i="12"/>
  <c r="H72" i="8"/>
  <c r="H40" i="12"/>
  <c r="I72" i="8"/>
  <c r="I40" i="12"/>
  <c r="J72" i="8"/>
  <c r="J40" i="12"/>
  <c r="K72" i="8"/>
  <c r="K40" i="12"/>
  <c r="L72" i="8"/>
  <c r="L40" i="12"/>
  <c r="L29" i="8"/>
  <c r="L6" i="12"/>
  <c r="L25" i="12"/>
  <c r="C25" i="12"/>
  <c r="N25" i="12" s="1"/>
  <c r="C38" i="8"/>
  <c r="C23" i="12" s="1"/>
  <c r="C29" i="8"/>
  <c r="I4" i="16" a="1"/>
  <c r="L16" i="16"/>
  <c r="G16" i="16"/>
  <c r="I36" i="8"/>
  <c r="H36" i="8"/>
  <c r="F36" i="8"/>
  <c r="D36" i="8"/>
  <c r="K36" i="8"/>
  <c r="G36" i="8"/>
  <c r="K33" i="8"/>
  <c r="K14" i="12" s="1"/>
  <c r="D33" i="8"/>
  <c r="D14" i="12" s="1"/>
  <c r="E33" i="8"/>
  <c r="E14" i="12" s="1"/>
  <c r="F33" i="8"/>
  <c r="F14" i="12" s="1"/>
  <c r="G33" i="8"/>
  <c r="G14" i="12" s="1"/>
  <c r="H33" i="8"/>
  <c r="H14" i="12" s="1"/>
  <c r="I33" i="8"/>
  <c r="I14" i="12" s="1"/>
  <c r="J36" i="8"/>
  <c r="J33" i="8"/>
  <c r="J14" i="12" s="1"/>
  <c r="M33" i="8"/>
  <c r="L13" i="12"/>
  <c r="L19" i="12" s="1"/>
  <c r="C13" i="12"/>
  <c r="E36" i="8"/>
  <c r="L19" i="8"/>
  <c r="L12" i="12" s="1"/>
  <c r="C19" i="8"/>
  <c r="C12" i="12" s="1"/>
  <c r="M6" i="1"/>
  <c r="M10" i="1" l="1"/>
  <c r="M12" i="1" s="1"/>
  <c r="M13" i="1" s="1"/>
  <c r="M15" i="1" s="1"/>
  <c r="M5" i="1"/>
  <c r="J39" i="8"/>
  <c r="J15" i="12" s="1"/>
  <c r="C33" i="8"/>
  <c r="C14" i="12" s="1"/>
  <c r="H39" i="8"/>
  <c r="H15" i="12" s="1"/>
  <c r="I39" i="8"/>
  <c r="I15" i="12" s="1"/>
  <c r="K39" i="8"/>
  <c r="K15" i="12" s="1"/>
  <c r="N12" i="12"/>
  <c r="D7" i="12"/>
  <c r="O6" i="12"/>
  <c r="N6" i="12"/>
  <c r="N37" i="12"/>
  <c r="D16" i="16"/>
  <c r="E16" i="16" s="1"/>
  <c r="B17" i="16"/>
  <c r="D17" i="15"/>
  <c r="E17" i="15" s="1"/>
  <c r="B18" i="15"/>
  <c r="K43" i="8"/>
  <c r="K23" i="12"/>
  <c r="K8" i="12"/>
  <c r="D43" i="8"/>
  <c r="D23" i="12"/>
  <c r="D8" i="12"/>
  <c r="E43" i="8"/>
  <c r="E23" i="12"/>
  <c r="E8" i="12"/>
  <c r="F43" i="8"/>
  <c r="F23" i="12"/>
  <c r="F8" i="12"/>
  <c r="G43" i="8"/>
  <c r="G23" i="12"/>
  <c r="G8" i="12"/>
  <c r="H43" i="8"/>
  <c r="H23" i="12"/>
  <c r="H8" i="12"/>
  <c r="I43" i="8"/>
  <c r="I23" i="12"/>
  <c r="I8" i="12"/>
  <c r="J43" i="8"/>
  <c r="J23" i="12"/>
  <c r="J8" i="12"/>
  <c r="N40" i="12"/>
  <c r="L38" i="8"/>
  <c r="L7" i="12"/>
  <c r="L21" i="12"/>
  <c r="L30" i="8"/>
  <c r="C30" i="8"/>
  <c r="C21" i="12"/>
  <c r="N21" i="12" s="1"/>
  <c r="I13" i="16"/>
  <c r="I12" i="16"/>
  <c r="I11" i="16"/>
  <c r="I10" i="16"/>
  <c r="I9" i="16"/>
  <c r="I8" i="16"/>
  <c r="I7" i="16"/>
  <c r="I6" i="16"/>
  <c r="I5" i="16"/>
  <c r="I4" i="16"/>
  <c r="D39" i="8"/>
  <c r="D15" i="12" s="1"/>
  <c r="F39" i="8"/>
  <c r="F15" i="12" s="1"/>
  <c r="E39" i="8"/>
  <c r="E15" i="12" s="1"/>
  <c r="G39" i="8"/>
  <c r="G15" i="12" s="1"/>
  <c r="C19" i="12"/>
  <c r="N19" i="12" s="1"/>
  <c r="N13" i="12"/>
  <c r="L17" i="16"/>
  <c r="G17" i="16"/>
  <c r="L33" i="8"/>
  <c r="L14" i="12" s="1"/>
  <c r="L36" i="8"/>
  <c r="C36" i="8"/>
  <c r="M36" i="8"/>
  <c r="N5" i="1"/>
  <c r="N10" i="1"/>
  <c r="N12" i="1" s="1"/>
  <c r="N13" i="1" s="1"/>
  <c r="N15" i="1" s="1"/>
  <c r="K47" i="8" l="1"/>
  <c r="K49" i="8" s="1"/>
  <c r="K22" i="12" s="1"/>
  <c r="K24" i="12" s="1"/>
  <c r="I17" i="16"/>
  <c r="D47" i="8"/>
  <c r="J10" i="16"/>
  <c r="J7" i="16"/>
  <c r="D17" i="16"/>
  <c r="E17" i="16" s="1"/>
  <c r="B18" i="16"/>
  <c r="D18" i="16" s="1"/>
  <c r="E18" i="16" s="1"/>
  <c r="B19" i="15"/>
  <c r="D19" i="15" s="1"/>
  <c r="D18" i="15"/>
  <c r="E18" i="15" s="1"/>
  <c r="I47" i="8"/>
  <c r="L43" i="8"/>
  <c r="L23" i="12"/>
  <c r="L8" i="12"/>
  <c r="I16" i="16"/>
  <c r="I15" i="16"/>
  <c r="I14" i="16"/>
  <c r="J14" i="16" s="1"/>
  <c r="O7" i="12"/>
  <c r="N7" i="12"/>
  <c r="J13" i="16"/>
  <c r="J12" i="16"/>
  <c r="J11" i="16"/>
  <c r="J9" i="16"/>
  <c r="J8" i="16"/>
  <c r="J6" i="16"/>
  <c r="J5" i="16"/>
  <c r="E44" i="8"/>
  <c r="E47" i="8"/>
  <c r="E49" i="8" s="1"/>
  <c r="E22" i="12" s="1"/>
  <c r="E24" i="12" s="1"/>
  <c r="H44" i="8"/>
  <c r="H47" i="8"/>
  <c r="H49" i="8" s="1"/>
  <c r="H22" i="12" s="1"/>
  <c r="H24" i="12" s="1"/>
  <c r="J44" i="8"/>
  <c r="J47" i="8"/>
  <c r="J49" i="8" s="1"/>
  <c r="J22" i="12" s="1"/>
  <c r="J24" i="12" s="1"/>
  <c r="F44" i="8"/>
  <c r="F47" i="8"/>
  <c r="F49" i="8" s="1"/>
  <c r="F22" i="12" s="1"/>
  <c r="F24" i="12" s="1"/>
  <c r="G44" i="8"/>
  <c r="G47" i="8"/>
  <c r="G49" i="8" s="1"/>
  <c r="G22" i="12" s="1"/>
  <c r="G24" i="12" s="1"/>
  <c r="I44" i="8"/>
  <c r="K44" i="8"/>
  <c r="N14" i="12"/>
  <c r="L18" i="16"/>
  <c r="G18" i="16"/>
  <c r="I18" i="16" s="1"/>
  <c r="C39" i="8"/>
  <c r="C15" i="12" s="1"/>
  <c r="C43" i="8"/>
  <c r="L39" i="8"/>
  <c r="L15" i="12" s="1"/>
  <c r="M39" i="8"/>
  <c r="E19" i="15" l="1"/>
  <c r="D49" i="8"/>
  <c r="D22" i="12" s="1"/>
  <c r="N4" i="16" a="1"/>
  <c r="I49" i="8"/>
  <c r="I22" i="12" s="1"/>
  <c r="I24" i="12" s="1"/>
  <c r="J18" i="16"/>
  <c r="N15" i="12"/>
  <c r="J17" i="16"/>
  <c r="J16" i="16"/>
  <c r="N23" i="12"/>
  <c r="O8" i="12"/>
  <c r="N8" i="12"/>
  <c r="J15" i="16"/>
  <c r="C47" i="8"/>
  <c r="D44" i="8"/>
  <c r="L44" i="8"/>
  <c r="L47" i="8"/>
  <c r="L49" i="8" s="1"/>
  <c r="L22" i="12" s="1"/>
  <c r="M44" i="8"/>
  <c r="M47" i="8"/>
  <c r="M49" i="8" s="1"/>
  <c r="D24" i="12" l="1"/>
  <c r="N5" i="16"/>
  <c r="N6" i="16"/>
  <c r="N7" i="16"/>
  <c r="N8" i="16"/>
  <c r="N9" i="16"/>
  <c r="N10" i="16"/>
  <c r="N11" i="16"/>
  <c r="O11" i="16" s="1"/>
  <c r="N12" i="16"/>
  <c r="O12" i="16" s="1"/>
  <c r="N13" i="16"/>
  <c r="N4" i="16"/>
  <c r="L24" i="12"/>
  <c r="C49" i="8"/>
  <c r="C22" i="12" s="1"/>
  <c r="O8" i="16" l="1"/>
  <c r="O9" i="16"/>
  <c r="O13" i="16"/>
  <c r="O10" i="16"/>
  <c r="N14" i="16"/>
  <c r="O14" i="16" s="1"/>
  <c r="O7" i="16"/>
  <c r="O5" i="16"/>
  <c r="O6" i="16"/>
  <c r="N18" i="16"/>
  <c r="N15" i="16"/>
  <c r="N17" i="16"/>
  <c r="N16" i="16"/>
  <c r="C24" i="12"/>
  <c r="N24" i="12" s="1"/>
  <c r="N22" i="12"/>
  <c r="O17" i="16" l="1"/>
  <c r="O16" i="16"/>
  <c r="O15" i="16"/>
  <c r="O18" i="16"/>
  <c r="H17" i="22"/>
  <c r="I17" i="22"/>
  <c r="J17" i="22"/>
  <c r="K17" i="22"/>
  <c r="H36" i="22" l="1"/>
  <c r="H58" i="22" s="1"/>
  <c r="H42" i="22"/>
  <c r="H48" i="22" s="1"/>
  <c r="H50" i="22" s="1"/>
  <c r="H57" i="22" s="1"/>
  <c r="I36" i="22"/>
  <c r="I58" i="22" s="1"/>
  <c r="I42" i="22"/>
  <c r="I48" i="22" s="1"/>
  <c r="I50" i="22" s="1"/>
  <c r="I57" i="22" s="1"/>
  <c r="J36" i="22"/>
  <c r="J58" i="22" s="1"/>
  <c r="J42" i="22"/>
  <c r="J48" i="22" s="1"/>
  <c r="J50" i="22" s="1"/>
  <c r="J57" i="22" s="1"/>
  <c r="K36" i="22"/>
  <c r="K58" i="22" s="1"/>
  <c r="K42" i="22"/>
  <c r="K48" i="22" s="1"/>
  <c r="K50" i="22" s="1"/>
  <c r="K57" i="22" s="1"/>
  <c r="I60" i="22" l="1"/>
  <c r="J60" i="22"/>
  <c r="K60" i="22"/>
  <c r="H60" i="22"/>
  <c r="K52" i="22"/>
  <c r="K5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SUMEDH KAGWADE</author>
  </authors>
  <commentList>
    <comment ref="C34" authorId="0" shapeId="0" xr:uid="{1A26FE25-C283-4DB3-8216-042D01ED3854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debtors pay me in how much days
</t>
        </r>
      </text>
    </comment>
    <comment ref="C35" authorId="0" shapeId="0" xr:uid="{3283D50A-9EDD-4368-B83C-6E608C4CB3CA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I pay creditors in how much time
</t>
        </r>
      </text>
    </comment>
    <comment ref="C36" authorId="0" shapeId="0" xr:uid="{0F588447-7CB0-49AE-B6C5-C401B8FBFFE5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if the company stops its production  today how much day's its inventory can sustain
</t>
        </r>
      </text>
    </comment>
    <comment ref="C37" authorId="0" shapeId="0" xr:uid="{93F318F7-FA44-41A4-9091-C9B28B9021DA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time taken by company to rotate its cash in 1 time
</t>
        </r>
      </text>
    </comment>
  </commentList>
</comments>
</file>

<file path=xl/sharedStrings.xml><?xml version="1.0" encoding="utf-8"?>
<sst xmlns="http://schemas.openxmlformats.org/spreadsheetml/2006/main" count="501" uniqueCount="336">
  <si>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</si>
  <si>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</si>
  <si>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</si>
  <si>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</si>
  <si>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</si>
  <si>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</si>
  <si>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</si>
  <si>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</si>
  <si>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</si>
  <si>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</si>
  <si>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</si>
  <si>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</si>
  <si>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</si>
  <si>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</si>
  <si>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</si>
  <si>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</si>
  <si>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</si>
  <si>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</si>
  <si>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</si>
  <si>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</si>
  <si>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</si>
  <si>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</si>
  <si>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</si>
  <si>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</si>
  <si>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</si>
  <si>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</si>
  <si>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</si>
  <si>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</si>
  <si>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</si>
  <si>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</si>
  <si>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</si>
  <si>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</si>
  <si>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</si>
  <si>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</si>
  <si>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</si>
  <si>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</si>
  <si>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</si>
  <si>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</si>
  <si>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</si>
  <si>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</si>
  <si>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</si>
  <si>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</si>
  <si>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</si>
  <si>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</si>
  <si>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</si>
  <si>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Price</t>
  </si>
  <si>
    <t>LATEST VERSION</t>
  </si>
  <si>
    <t>CURRENT VERSION</t>
  </si>
  <si>
    <t>SUN PHARMACEUTICAL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</si>
  <si>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</si>
  <si>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</si>
  <si>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</si>
  <si>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</si>
  <si>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</si>
  <si>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</si>
  <si>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</si>
  <si>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</si>
  <si>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</si>
  <si>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</si>
  <si>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</si>
  <si>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</si>
  <si>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</si>
  <si>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</si>
  <si>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</si>
  <si>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</si>
  <si>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</si>
  <si>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</si>
  <si>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</si>
  <si>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</si>
  <si>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</si>
  <si>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</si>
  <si>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</si>
  <si>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</si>
  <si>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</si>
  <si>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</si>
  <si>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</si>
  <si>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</si>
  <si>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</si>
  <si>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</si>
  <si>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COGS</t>
  </si>
  <si>
    <t>COGS % Sales</t>
  </si>
  <si>
    <t>Gross Profit</t>
  </si>
  <si>
    <t xml:space="preserve">Selling &amp; Gen Exp </t>
  </si>
  <si>
    <t>EBITDA</t>
  </si>
  <si>
    <t>S&amp;G Exp % Sales</t>
  </si>
  <si>
    <t>EBITDA Margins</t>
  </si>
  <si>
    <t>Interest % Sales</t>
  </si>
  <si>
    <t>Depreciation % Sales</t>
  </si>
  <si>
    <t>Gross Margin</t>
  </si>
  <si>
    <t>Earnings Before Tax</t>
  </si>
  <si>
    <t>EBT % Sales</t>
  </si>
  <si>
    <t>Effective Tax Rate</t>
  </si>
  <si>
    <t>Net Profit</t>
  </si>
  <si>
    <t>Net Margin</t>
  </si>
  <si>
    <t xml:space="preserve">No. of Equity Shares </t>
  </si>
  <si>
    <t>Divident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</si>
  <si>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</si>
  <si>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</si>
  <si>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</si>
  <si>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</si>
  <si>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</si>
  <si>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</si>
  <si>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Assets</t>
  </si>
  <si>
    <t>Total Non Current Assets</t>
  </si>
  <si>
    <t>Total Current Assets</t>
  </si>
  <si>
    <t xml:space="preserve">Check 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</si>
  <si>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</si>
  <si>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</si>
  <si>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</si>
  <si>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</si>
  <si>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</si>
  <si>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</si>
  <si>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</si>
  <si>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</si>
  <si>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</si>
  <si>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</si>
  <si>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</si>
  <si>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</si>
  <si>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</si>
  <si>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</si>
  <si>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</si>
  <si>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</si>
  <si>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</si>
  <si>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</si>
  <si>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</si>
  <si>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</si>
  <si>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</si>
  <si>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</si>
  <si>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</si>
  <si>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</si>
  <si>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</si>
  <si>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</si>
  <si>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</si>
  <si>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</si>
  <si>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</si>
  <si>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</si>
  <si>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Statements</t>
  </si>
  <si>
    <t>Cash from Opr Activities</t>
  </si>
  <si>
    <t>Opreating Activities</t>
  </si>
  <si>
    <t>Investing Activities</t>
  </si>
  <si>
    <t>Cash from Invest Activities</t>
  </si>
  <si>
    <t>Financing Activities</t>
  </si>
  <si>
    <t>Cash from Fin Activities</t>
  </si>
  <si>
    <t>-</t>
  </si>
  <si>
    <t>SalesGrowth</t>
  </si>
  <si>
    <t>EBITDA Growth</t>
  </si>
  <si>
    <t>NetProfit Growth</t>
  </si>
  <si>
    <t>Dividend Growth</t>
  </si>
  <si>
    <t>EBIT Growth</t>
  </si>
  <si>
    <t>EBITDA Margin</t>
  </si>
  <si>
    <t>EBIT Margin</t>
  </si>
  <si>
    <t>EBT Margin</t>
  </si>
  <si>
    <t>Net Profit Margin</t>
  </si>
  <si>
    <t>SalesExp% Sales</t>
  </si>
  <si>
    <t>Deprn%Sales</t>
  </si>
  <si>
    <t>OprIncome%Sales</t>
  </si>
  <si>
    <t>Return on Cap Emp</t>
  </si>
  <si>
    <t>Retained Earn %</t>
  </si>
  <si>
    <t>Return on Equity%</t>
  </si>
  <si>
    <t>Self Sust Growth Rate</t>
  </si>
  <si>
    <t>Interest Cov Ratio</t>
  </si>
  <si>
    <t>Debt Turnover Ratio</t>
  </si>
  <si>
    <t>Creditor Turnover Ratio</t>
  </si>
  <si>
    <t>Invt Turnover</t>
  </si>
  <si>
    <t>Fixed Asset Turnover</t>
  </si>
  <si>
    <t>Capital Turnover Ratio</t>
  </si>
  <si>
    <t>Debtor Days</t>
  </si>
  <si>
    <t>Payable Days</t>
  </si>
  <si>
    <t>Invt Days</t>
  </si>
  <si>
    <t>Cash Conversion Cycle</t>
  </si>
  <si>
    <t>CFO/Sales</t>
  </si>
  <si>
    <t>CFO/Total Assets</t>
  </si>
  <si>
    <t>CFO/Total Debt</t>
  </si>
  <si>
    <t>Cash From Opr Activities</t>
  </si>
  <si>
    <t>EBIT</t>
  </si>
  <si>
    <t>EBIT % Sales</t>
  </si>
  <si>
    <t>(in days)</t>
  </si>
  <si>
    <t>Mean</t>
  </si>
  <si>
    <t>Median</t>
  </si>
  <si>
    <t>Trend</t>
  </si>
  <si>
    <t>Year Weight</t>
  </si>
  <si>
    <t xml:space="preserve">Year </t>
  </si>
  <si>
    <t>Tata Motors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</si>
  <si>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</si>
  <si>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</si>
  <si>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</si>
  <si>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</si>
  <si>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</si>
  <si>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</si>
  <si>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</si>
  <si>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</si>
  <si>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</si>
  <si>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</si>
  <si>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</si>
  <si>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</si>
  <si>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</si>
  <si>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</si>
  <si>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</si>
  <si>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</si>
  <si>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</si>
  <si>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</si>
  <si>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</si>
  <si>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</si>
  <si>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</si>
  <si>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</si>
  <si>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</si>
  <si>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Strength of regr should be more than 0.4</t>
  </si>
  <si>
    <t xml:space="preserve"> </t>
  </si>
  <si>
    <t>Other income</t>
  </si>
  <si>
    <t>EPS Growth</t>
  </si>
  <si>
    <t>Particulars</t>
  </si>
  <si>
    <t>4. Levered Beta = Unlevered Beta*(1+(1-Tax Rate)*Debt/Equity)</t>
  </si>
  <si>
    <t>Weighted Average Cost of Capital</t>
  </si>
  <si>
    <t>3. Unlevered Beta = Levered Beta/(1+(1-Tax Rate)*Debt/Equity)</t>
  </si>
  <si>
    <t>Equity</t>
  </si>
  <si>
    <t>2. Levered Beta is based on 5 year Monthly data</t>
  </si>
  <si>
    <t>Debt</t>
  </si>
  <si>
    <t>1. Tax Rate Considered as Marginal Tax Rate for the Country</t>
  </si>
  <si>
    <t>Total Weight</t>
  </si>
  <si>
    <t xml:space="preserve">Total Cost </t>
  </si>
  <si>
    <t>Notes:</t>
  </si>
  <si>
    <t>Debt / Equity</t>
  </si>
  <si>
    <t>Levered Beta</t>
  </si>
  <si>
    <t>Total Capital</t>
  </si>
  <si>
    <t>Tax Rate</t>
  </si>
  <si>
    <t xml:space="preserve">Target Debt / Equity </t>
  </si>
  <si>
    <t>Total Debt</t>
  </si>
  <si>
    <t>Comps Median Unlevered Beta</t>
  </si>
  <si>
    <t>Target</t>
  </si>
  <si>
    <t>Current</t>
  </si>
  <si>
    <t>Capital Structure</t>
  </si>
  <si>
    <t>Cost of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</si>
  <si>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</si>
  <si>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Post Tax Cost of Debt</t>
  </si>
  <si>
    <t>Equity Risk Premium</t>
  </si>
  <si>
    <t>`</t>
  </si>
  <si>
    <t>tax Rate</t>
  </si>
  <si>
    <t>Risk Free Rate</t>
  </si>
  <si>
    <t>Pre-Tax Cost of Debt</t>
  </si>
  <si>
    <t>Cost of Debt</t>
  </si>
  <si>
    <t>Average</t>
  </si>
  <si>
    <t>India</t>
  </si>
  <si>
    <t>Dabur India</t>
  </si>
  <si>
    <t>Godrej Consumer</t>
  </si>
  <si>
    <t>Britannia Inds</t>
  </si>
  <si>
    <t>Nestle India</t>
  </si>
  <si>
    <t>Hind. Unilever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</si>
  <si>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</si>
  <si>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</si>
  <si>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Capital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</si>
  <si>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</si>
  <si>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Total Equity</t>
  </si>
  <si>
    <t xml:space="preserve">Country </t>
  </si>
  <si>
    <t>Name of the Comp</t>
  </si>
  <si>
    <t>Unlevered</t>
  </si>
  <si>
    <t xml:space="preserve">Levered </t>
  </si>
  <si>
    <t xml:space="preserve">Debt / </t>
  </si>
  <si>
    <t>Debt /</t>
  </si>
  <si>
    <t>Peer Comps</t>
  </si>
  <si>
    <t>all Figures are in INR unless stated otherwise</t>
  </si>
  <si>
    <t>X Variable 1</t>
  </si>
  <si>
    <t>Adjusted Beta</t>
  </si>
  <si>
    <t>Beta 3</t>
  </si>
  <si>
    <t>Market Beta Weight</t>
  </si>
  <si>
    <t>Market Beta</t>
  </si>
  <si>
    <t>Beta 2</t>
  </si>
  <si>
    <t>Beta 1</t>
  </si>
  <si>
    <t>Raw Beta Weight</t>
  </si>
  <si>
    <t>Levered Raw Beta</t>
  </si>
  <si>
    <t>Return</t>
  </si>
  <si>
    <t>Closing Price</t>
  </si>
  <si>
    <t>Date</t>
  </si>
  <si>
    <t>Beta Drifting</t>
  </si>
  <si>
    <t>NIFTY Returns</t>
  </si>
  <si>
    <t>Avenue Supermart Weekly Returns</t>
  </si>
  <si>
    <t>Regression Beta - 2 Years Weekly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</si>
  <si>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</si>
  <si>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</si>
  <si>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</si>
  <si>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</si>
  <si>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</si>
  <si>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</si>
  <si>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</si>
  <si>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</si>
  <si>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</si>
  <si>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</si>
  <si>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</si>
  <si>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</si>
  <si>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</si>
  <si>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</si>
  <si>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</si>
  <si>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</si>
  <si>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</si>
  <si>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</si>
  <si>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</si>
  <si>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</si>
  <si>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</si>
  <si>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</si>
  <si>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</si>
  <si>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</si>
  <si>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</si>
  <si>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</si>
  <si>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</si>
  <si>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</si>
  <si>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</si>
  <si>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Calculation of ROIC</t>
  </si>
  <si>
    <t>Current  Assets</t>
  </si>
  <si>
    <t>Current  Liabilities</t>
  </si>
  <si>
    <t>Total Current Liabilities</t>
  </si>
  <si>
    <t>Net Working Capital</t>
  </si>
  <si>
    <t>Non Current Assets</t>
  </si>
  <si>
    <t>Accumulated Dereciation</t>
  </si>
  <si>
    <t>Net Non Current Assets</t>
  </si>
  <si>
    <t>Inventory Capital</t>
  </si>
  <si>
    <t>ROIC</t>
  </si>
  <si>
    <t>Calculation of Reinvestment Rate</t>
  </si>
  <si>
    <t>Net CapEx</t>
  </si>
  <si>
    <t>Change in Working Capital</t>
  </si>
  <si>
    <t>Marginal Tax Rate</t>
  </si>
  <si>
    <t>Reinvestment</t>
  </si>
  <si>
    <t>EBIT (1-T)</t>
  </si>
  <si>
    <t>Reinvestment Rate</t>
  </si>
  <si>
    <t xml:space="preserve">4 Year Average </t>
  </si>
  <si>
    <t>4 Year Median</t>
  </si>
  <si>
    <t>Calculation of Growth Rate</t>
  </si>
  <si>
    <t>Intrinsic Growth</t>
  </si>
  <si>
    <t>Calculation of PV of FCFF</t>
  </si>
  <si>
    <t>EBIT(1-T)</t>
  </si>
  <si>
    <t>Less: Reinvestment rate</t>
  </si>
  <si>
    <t>Free Cash Flows to the Firm (FCFF)</t>
  </si>
  <si>
    <t>Mid Year Convention</t>
  </si>
  <si>
    <t>Discounting Factor</t>
  </si>
  <si>
    <t>PV of PCFF</t>
  </si>
  <si>
    <t>Expected Growth</t>
  </si>
  <si>
    <t>Terminal Growth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</si>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</sst>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\-#,##0.0\);\-"/>
    <numFmt numFmtId="167" formatCode="&quot;₹&quot;\ #,##0.0;\(&quot;₹&quot;\ #,##0.0\);\-"/>
    <numFmt numFmtId="168" formatCode="&quot;₹&quot;\ #,##0.00"/>
    <numFmt numFmtId="169" formatCode="&quot;₹&quot;\ #,##0.00;\(&quot;₹&quot;\ #,##0.00\);\-"/>
    <numFmt numFmtId="170" formatCode="0.00&quot;x&quot;"/>
    <numFmt numFmtId="171" formatCode="0.0"/>
    <numFmt numFmtId="172" formatCode="0&quot;A&quot;"/>
    <numFmt numFmtId="173" formatCode="0&quot;E&quot;"/>
    <numFmt numFmtId="174" formatCode="#,##0.0"/>
    <numFmt numFmtId="175" formatCode="yyyy&quot;A&quot;"/>
    <numFmt numFmtId="176" formatCode="yyyy&quot;E&quot;"/>
    <numFmt numFmtId="177" formatCode="#,##0.0;\(#,##0.0\);\-"/>
    <numFmt numFmtId="178" formatCode="mmm/yy&quot;A&quot;"/>
    <numFmt numFmtId="179" formatCode="mmm/yy&quot;F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Calibri"/>
      <family val="2"/>
    </font>
    <font>
      <sz val="11"/>
      <color rgb="FF3333FF"/>
      <name val="Calibri"/>
      <family val="2"/>
    </font>
    <font>
      <vertAlign val="superscript"/>
      <sz val="11"/>
      <color theme="1"/>
      <name val="Calibri"/>
      <family val="2"/>
    </font>
    <font>
      <b/>
      <sz val="12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43" fontId="2" fillId="0" borderId="0" xfId="1" applyFont="1" applyBorder="1"/>
    <xf numFmtId="0" fontId="2" fillId="0" borderId="0" xfId="0" applyFont="1"/>
    <xf numFmtId="0" fontId="7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9" fontId="4" fillId="0" borderId="0" xfId="1" applyNumberFormat="1" applyFont="1" applyBorder="1"/>
    <xf numFmtId="43" fontId="3" fillId="2" borderId="0" xfId="3" applyNumberFormat="1" applyFont="1" applyBorder="1"/>
    <xf numFmtId="43" fontId="3" fillId="3" borderId="0" xfId="4" applyNumberFormat="1" applyFont="1" applyBorder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0" fontId="2" fillId="0" borderId="0" xfId="0" applyNumberFormat="1" applyFont="1"/>
    <xf numFmtId="165" fontId="3" fillId="5" borderId="0" xfId="1" applyNumberFormat="1" applyFont="1" applyFill="1" applyBorder="1"/>
    <xf numFmtId="165" fontId="8" fillId="0" borderId="0" xfId="1" applyNumberFormat="1" applyFont="1" applyFill="1" applyBorder="1"/>
    <xf numFmtId="164" fontId="0" fillId="0" borderId="0" xfId="1" applyNumberFormat="1" applyFont="1" applyBorder="1"/>
    <xf numFmtId="0" fontId="3" fillId="6" borderId="0" xfId="0" applyFont="1" applyFill="1"/>
    <xf numFmtId="17" fontId="3" fillId="6" borderId="0" xfId="0" applyNumberFormat="1" applyFont="1" applyFill="1"/>
    <xf numFmtId="17" fontId="3" fillId="6" borderId="0" xfId="0" applyNumberFormat="1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0" fontId="9" fillId="0" borderId="0" xfId="6" applyNumberFormat="1" applyFont="1"/>
    <xf numFmtId="7" fontId="0" fillId="0" borderId="0" xfId="0" applyNumberFormat="1"/>
    <xf numFmtId="0" fontId="0" fillId="7" borderId="0" xfId="0" applyFill="1"/>
    <xf numFmtId="167" fontId="0" fillId="0" borderId="0" xfId="0" applyNumberFormat="1"/>
    <xf numFmtId="10" fontId="0" fillId="0" borderId="0" xfId="6" applyNumberFormat="1" applyFont="1"/>
    <xf numFmtId="10" fontId="0" fillId="8" borderId="0" xfId="6" applyNumberFormat="1" applyFont="1" applyFill="1"/>
    <xf numFmtId="167" fontId="2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10" fillId="0" borderId="0" xfId="0" applyFont="1"/>
    <xf numFmtId="0" fontId="9" fillId="0" borderId="0" xfId="0" applyFont="1" applyAlignment="1">
      <alignment horizontal="right"/>
    </xf>
    <xf numFmtId="0" fontId="2" fillId="0" borderId="1" xfId="0" applyFont="1" applyBorder="1"/>
    <xf numFmtId="167" fontId="2" fillId="0" borderId="1" xfId="0" applyNumberFormat="1" applyFont="1" applyBorder="1"/>
    <xf numFmtId="168" fontId="0" fillId="0" borderId="0" xfId="0" applyNumberFormat="1"/>
    <xf numFmtId="167" fontId="0" fillId="0" borderId="1" xfId="0" applyNumberFormat="1" applyBorder="1"/>
    <xf numFmtId="169" fontId="0" fillId="0" borderId="0" xfId="0" applyNumberFormat="1"/>
    <xf numFmtId="10" fontId="0" fillId="11" borderId="0" xfId="6" applyNumberFormat="1" applyFont="1" applyFill="1"/>
    <xf numFmtId="0" fontId="13" fillId="0" borderId="0" xfId="0" applyFont="1"/>
    <xf numFmtId="0" fontId="0" fillId="0" borderId="2" xfId="0" applyBorder="1"/>
    <xf numFmtId="10" fontId="0" fillId="0" borderId="2" xfId="6" applyNumberFormat="1" applyFont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0" fontId="0" fillId="9" borderId="0" xfId="6" applyNumberFormat="1" applyFont="1" applyFill="1" applyBorder="1"/>
    <xf numFmtId="170" fontId="0" fillId="0" borderId="3" xfId="0" applyNumberFormat="1" applyBorder="1"/>
    <xf numFmtId="170" fontId="0" fillId="0" borderId="2" xfId="0" applyNumberFormat="1" applyBorder="1"/>
    <xf numFmtId="170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0" fontId="0" fillId="0" borderId="2" xfId="0" applyBorder="1" applyAlignment="1">
      <alignment horizontal="center"/>
    </xf>
    <xf numFmtId="171" fontId="0" fillId="0" borderId="0" xfId="0" applyNumberFormat="1"/>
    <xf numFmtId="0" fontId="3" fillId="12" borderId="0" xfId="0" applyFont="1" applyFill="1"/>
    <xf numFmtId="17" fontId="3" fillId="12" borderId="0" xfId="0" applyNumberFormat="1" applyFont="1" applyFill="1"/>
    <xf numFmtId="0" fontId="0" fillId="0" borderId="0" xfId="0" applyAlignment="1">
      <alignment horizontal="lef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0" fontId="0" fillId="0" borderId="4" xfId="0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Continuous"/>
    </xf>
    <xf numFmtId="0" fontId="15" fillId="0" borderId="0" xfId="0" applyFont="1"/>
    <xf numFmtId="174" fontId="0" fillId="0" borderId="0" xfId="0" applyNumberFormat="1"/>
    <xf numFmtId="174" fontId="14" fillId="0" borderId="0" xfId="0" applyNumberFormat="1" applyFont="1"/>
    <xf numFmtId="175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" fontId="3" fillId="12" borderId="0" xfId="0" applyNumberFormat="1" applyFont="1" applyFill="1" applyAlignment="1">
      <alignment horizontal="right"/>
    </xf>
    <xf numFmtId="0" fontId="0" fillId="13" borderId="0" xfId="0" applyFill="1" applyAlignment="1">
      <alignment horizontal="left"/>
    </xf>
    <xf numFmtId="176" fontId="0" fillId="13" borderId="0" xfId="0" applyNumberFormat="1" applyFill="1" applyAlignment="1">
      <alignment horizontal="right"/>
    </xf>
    <xf numFmtId="174" fontId="0" fillId="13" borderId="0" xfId="0" applyNumberFormat="1" applyFill="1"/>
    <xf numFmtId="10" fontId="0" fillId="13" borderId="0" xfId="6" applyNumberFormat="1" applyFont="1" applyFill="1"/>
    <xf numFmtId="10" fontId="0" fillId="0" borderId="6" xfId="6" applyNumberFormat="1" applyFont="1" applyBorder="1"/>
    <xf numFmtId="10" fontId="0" fillId="0" borderId="7" xfId="6" applyNumberFormat="1" applyFont="1" applyBorder="1"/>
    <xf numFmtId="43" fontId="0" fillId="0" borderId="0" xfId="0" applyNumberFormat="1"/>
    <xf numFmtId="0" fontId="2" fillId="0" borderId="6" xfId="0" applyFont="1" applyBorder="1"/>
    <xf numFmtId="17" fontId="2" fillId="0" borderId="6" xfId="0" applyNumberFormat="1" applyFont="1" applyBorder="1"/>
    <xf numFmtId="17" fontId="2" fillId="0" borderId="0" xfId="0" applyNumberFormat="1" applyFont="1"/>
    <xf numFmtId="0" fontId="1" fillId="0" borderId="0" xfId="7"/>
    <xf numFmtId="0" fontId="18" fillId="0" borderId="0" xfId="7" applyFont="1"/>
    <xf numFmtId="0" fontId="18" fillId="0" borderId="0" xfId="7" applyFont="1" applyAlignment="1">
      <alignment vertical="top"/>
    </xf>
    <xf numFmtId="10" fontId="0" fillId="15" borderId="8" xfId="8" applyNumberFormat="1" applyFont="1" applyFill="1" applyBorder="1"/>
    <xf numFmtId="0" fontId="1" fillId="0" borderId="8" xfId="7" applyBorder="1"/>
    <xf numFmtId="10" fontId="1" fillId="0" borderId="0" xfId="7" applyNumberFormat="1"/>
    <xf numFmtId="0" fontId="17" fillId="0" borderId="6" xfId="7" applyFont="1" applyBorder="1" applyAlignment="1">
      <alignment horizontal="right"/>
    </xf>
    <xf numFmtId="0" fontId="19" fillId="0" borderId="0" xfId="7" applyFont="1"/>
    <xf numFmtId="0" fontId="1" fillId="0" borderId="6" xfId="7" applyBorder="1"/>
    <xf numFmtId="0" fontId="17" fillId="0" borderId="6" xfId="7" applyFont="1" applyBorder="1"/>
    <xf numFmtId="10" fontId="0" fillId="15" borderId="0" xfId="8" applyNumberFormat="1" applyFont="1" applyFill="1"/>
    <xf numFmtId="2" fontId="1" fillId="15" borderId="0" xfId="7" applyNumberFormat="1" applyFill="1"/>
    <xf numFmtId="10" fontId="1" fillId="0" borderId="8" xfId="7" applyNumberFormat="1" applyBorder="1"/>
    <xf numFmtId="10" fontId="0" fillId="0" borderId="8" xfId="8" applyNumberFormat="1" applyFont="1" applyBorder="1"/>
    <xf numFmtId="174" fontId="1" fillId="0" borderId="8" xfId="7" applyNumberFormat="1" applyBorder="1"/>
    <xf numFmtId="9" fontId="1" fillId="0" borderId="9" xfId="7" applyNumberFormat="1" applyBorder="1"/>
    <xf numFmtId="10" fontId="0" fillId="0" borderId="0" xfId="8" applyNumberFormat="1" applyFont="1"/>
    <xf numFmtId="174" fontId="20" fillId="0" borderId="0" xfId="7" applyNumberFormat="1" applyFont="1"/>
    <xf numFmtId="10" fontId="20" fillId="0" borderId="0" xfId="7" applyNumberFormat="1" applyFont="1"/>
    <xf numFmtId="2" fontId="1" fillId="0" borderId="0" xfId="7" applyNumberFormat="1"/>
    <xf numFmtId="10" fontId="1" fillId="15" borderId="0" xfId="7" applyNumberFormat="1" applyFill="1"/>
    <xf numFmtId="2" fontId="1" fillId="0" borderId="9" xfId="7" applyNumberFormat="1" applyBorder="1"/>
    <xf numFmtId="10" fontId="1" fillId="15" borderId="10" xfId="7" applyNumberFormat="1" applyFill="1" applyBorder="1"/>
    <xf numFmtId="0" fontId="1" fillId="0" borderId="10" xfId="7" applyBorder="1"/>
    <xf numFmtId="9" fontId="20" fillId="0" borderId="0" xfId="7" applyNumberFormat="1" applyFont="1"/>
    <xf numFmtId="2" fontId="1" fillId="0" borderId="6" xfId="7" applyNumberFormat="1" applyBorder="1"/>
    <xf numFmtId="10" fontId="1" fillId="0" borderId="6" xfId="7" applyNumberFormat="1" applyBorder="1"/>
    <xf numFmtId="0" fontId="20" fillId="0" borderId="0" xfId="7" applyFont="1"/>
    <xf numFmtId="2" fontId="1" fillId="0" borderId="7" xfId="7" applyNumberFormat="1" applyBorder="1"/>
    <xf numFmtId="10" fontId="1" fillId="0" borderId="7" xfId="7" applyNumberFormat="1" applyBorder="1"/>
    <xf numFmtId="0" fontId="17" fillId="0" borderId="7" xfId="7" applyFont="1" applyBorder="1"/>
    <xf numFmtId="2" fontId="20" fillId="0" borderId="0" xfId="7" applyNumberFormat="1" applyFont="1"/>
    <xf numFmtId="10" fontId="20" fillId="0" borderId="0" xfId="8" applyNumberFormat="1" applyFont="1"/>
    <xf numFmtId="0" fontId="1" fillId="0" borderId="6" xfId="7" applyBorder="1" applyAlignment="1">
      <alignment vertical="center"/>
    </xf>
    <xf numFmtId="0" fontId="1" fillId="0" borderId="7" xfId="7" applyBorder="1" applyAlignment="1">
      <alignment vertical="top"/>
    </xf>
    <xf numFmtId="0" fontId="1" fillId="0" borderId="7" xfId="7" applyBorder="1"/>
    <xf numFmtId="0" fontId="17" fillId="0" borderId="0" xfId="7" applyFont="1"/>
    <xf numFmtId="0" fontId="22" fillId="0" borderId="0" xfId="7" applyFont="1"/>
    <xf numFmtId="0" fontId="22" fillId="16" borderId="0" xfId="7" applyFont="1" applyFill="1"/>
    <xf numFmtId="174" fontId="1" fillId="0" borderId="0" xfId="7" applyNumberFormat="1"/>
    <xf numFmtId="174" fontId="1" fillId="0" borderId="0" xfId="7" applyNumberFormat="1" applyAlignment="1">
      <alignment horizontal="right"/>
    </xf>
    <xf numFmtId="14" fontId="1" fillId="0" borderId="0" xfId="7" applyNumberFormat="1" applyAlignment="1">
      <alignment horizontal="left"/>
    </xf>
    <xf numFmtId="0" fontId="1" fillId="0" borderId="4" xfId="7" applyBorder="1"/>
    <xf numFmtId="0" fontId="19" fillId="0" borderId="5" xfId="7" applyFont="1" applyBorder="1" applyAlignment="1">
      <alignment horizontal="center"/>
    </xf>
    <xf numFmtId="0" fontId="19" fillId="0" borderId="5" xfId="7" applyFont="1" applyBorder="1" applyAlignment="1">
      <alignment horizontal="centerContinuous"/>
    </xf>
    <xf numFmtId="2" fontId="1" fillId="13" borderId="0" xfId="7" applyNumberFormat="1" applyFill="1"/>
    <xf numFmtId="0" fontId="1" fillId="13" borderId="0" xfId="7" applyFill="1"/>
    <xf numFmtId="0" fontId="1" fillId="0" borderId="0" xfId="7" applyAlignment="1">
      <alignment horizontal="right"/>
    </xf>
    <xf numFmtId="0" fontId="17" fillId="0" borderId="0" xfId="7" applyFont="1" applyAlignment="1">
      <alignment horizontal="left"/>
    </xf>
    <xf numFmtId="0" fontId="17" fillId="0" borderId="11" xfId="7" applyFont="1" applyBorder="1" applyAlignment="1">
      <alignment horizontal="right"/>
    </xf>
    <xf numFmtId="0" fontId="17" fillId="0" borderId="11" xfId="7" applyFont="1" applyBorder="1" applyAlignment="1">
      <alignment horizontal="left"/>
    </xf>
    <xf numFmtId="0" fontId="3" fillId="17" borderId="0" xfId="0" applyFont="1" applyFill="1"/>
    <xf numFmtId="17" fontId="3" fillId="17" borderId="0" xfId="0" applyNumberFormat="1" applyFont="1" applyFill="1"/>
    <xf numFmtId="0" fontId="3" fillId="0" borderId="0" xfId="0" applyFont="1"/>
    <xf numFmtId="17" fontId="3" fillId="0" borderId="0" xfId="0" applyNumberFormat="1" applyFont="1"/>
    <xf numFmtId="0" fontId="0" fillId="0" borderId="1" xfId="0" applyBorder="1"/>
    <xf numFmtId="0" fontId="2" fillId="0" borderId="12" xfId="0" applyFont="1" applyBorder="1"/>
    <xf numFmtId="3" fontId="2" fillId="0" borderId="12" xfId="0" applyNumberFormat="1" applyFont="1" applyBorder="1"/>
    <xf numFmtId="177" fontId="0" fillId="0" borderId="1" xfId="0" applyNumberFormat="1" applyBorder="1"/>
    <xf numFmtId="177" fontId="0" fillId="0" borderId="0" xfId="0" applyNumberFormat="1"/>
    <xf numFmtId="177" fontId="0" fillId="0" borderId="12" xfId="0" applyNumberFormat="1" applyBorder="1"/>
    <xf numFmtId="177" fontId="0" fillId="0" borderId="13" xfId="0" applyNumberFormat="1" applyBorder="1"/>
    <xf numFmtId="0" fontId="0" fillId="0" borderId="13" xfId="0" applyBorder="1"/>
    <xf numFmtId="177" fontId="0" fillId="0" borderId="7" xfId="0" applyNumberFormat="1" applyBorder="1"/>
    <xf numFmtId="3" fontId="2" fillId="0" borderId="14" xfId="0" applyNumberFormat="1" applyFont="1" applyBorder="1"/>
    <xf numFmtId="0" fontId="2" fillId="0" borderId="15" xfId="0" applyFont="1" applyBorder="1"/>
    <xf numFmtId="0" fontId="0" fillId="0" borderId="16" xfId="0" applyBorder="1"/>
    <xf numFmtId="0" fontId="3" fillId="10" borderId="1" xfId="0" applyFont="1" applyFill="1" applyBorder="1"/>
    <xf numFmtId="0" fontId="2" fillId="0" borderId="16" xfId="0" applyFont="1" applyBorder="1"/>
    <xf numFmtId="9" fontId="2" fillId="0" borderId="16" xfId="6" applyFont="1" applyBorder="1"/>
    <xf numFmtId="10" fontId="2" fillId="0" borderId="16" xfId="6" applyNumberFormat="1" applyFont="1" applyBorder="1"/>
    <xf numFmtId="0" fontId="3" fillId="18" borderId="0" xfId="0" applyFont="1" applyFill="1"/>
    <xf numFmtId="0" fontId="0" fillId="18" borderId="0" xfId="0" applyFill="1"/>
    <xf numFmtId="17" fontId="3" fillId="18" borderId="0" xfId="0" applyNumberFormat="1" applyFont="1" applyFill="1"/>
    <xf numFmtId="177" fontId="2" fillId="0" borderId="15" xfId="0" applyNumberFormat="1" applyFont="1" applyBorder="1"/>
    <xf numFmtId="177" fontId="0" fillId="0" borderId="16" xfId="0" applyNumberFormat="1" applyBorder="1"/>
    <xf numFmtId="177" fontId="2" fillId="0" borderId="1" xfId="0" applyNumberFormat="1" applyFont="1" applyBorder="1"/>
    <xf numFmtId="177" fontId="2" fillId="0" borderId="0" xfId="0" applyNumberFormat="1" applyFont="1"/>
    <xf numFmtId="177" fontId="2" fillId="0" borderId="16" xfId="0" applyNumberFormat="1" applyFont="1" applyBorder="1"/>
    <xf numFmtId="10" fontId="14" fillId="0" borderId="1" xfId="0" applyNumberFormat="1" applyFont="1" applyBorder="1"/>
    <xf numFmtId="0" fontId="2" fillId="13" borderId="0" xfId="0" applyFont="1" applyFill="1"/>
    <xf numFmtId="10" fontId="2" fillId="13" borderId="0" xfId="0" applyNumberFormat="1" applyFont="1" applyFill="1"/>
    <xf numFmtId="10" fontId="0" fillId="0" borderId="1" xfId="0" applyNumberFormat="1" applyBorder="1"/>
    <xf numFmtId="9" fontId="0" fillId="0" borderId="0" xfId="6" applyFont="1"/>
    <xf numFmtId="178" fontId="3" fillId="19" borderId="0" xfId="0" applyNumberFormat="1" applyFont="1" applyFill="1"/>
    <xf numFmtId="179" fontId="3" fillId="19" borderId="0" xfId="0" applyNumberFormat="1" applyFont="1" applyFill="1"/>
    <xf numFmtId="0" fontId="3" fillId="19" borderId="0" xfId="0" applyFont="1" applyFill="1"/>
    <xf numFmtId="10" fontId="14" fillId="0" borderId="0" xfId="0" applyNumberFormat="1" applyFont="1"/>
    <xf numFmtId="0" fontId="3" fillId="0" borderId="17" xfId="0" applyFont="1" applyBorder="1"/>
    <xf numFmtId="0" fontId="8" fillId="0" borderId="17" xfId="0" applyFont="1" applyBorder="1"/>
    <xf numFmtId="0" fontId="3" fillId="6" borderId="0" xfId="0" applyFont="1" applyFill="1" applyAlignment="1">
      <alignment horizontal="center"/>
    </xf>
    <xf numFmtId="43" fontId="5" fillId="0" borderId="0" xfId="2" applyNumberFormat="1" applyBorder="1" applyAlignment="1" applyProtection="1">
      <alignment horizontal="center"/>
    </xf>
    <xf numFmtId="43" fontId="3" fillId="4" borderId="0" xfId="5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0" fontId="16" fillId="14" borderId="0" xfId="0" applyFont="1" applyFill="1" applyAlignment="1">
      <alignment horizontal="center"/>
    </xf>
    <xf numFmtId="0" fontId="16" fillId="12" borderId="0" xfId="7" applyFont="1" applyFill="1" applyAlignment="1">
      <alignment horizontal="center"/>
    </xf>
  </cellXfs>
  <cellStyles count="9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2" xfId="7" xr:uid="{ADD8F536-0777-4D36-A566-CA0EC039C421}"/>
    <cellStyle name="Percent" xfId="6" builtinId="5"/>
    <cellStyle name="Percent 2" xfId="8" xr:uid="{A08F19D8-40D1-4379-AB33-D40042BCB6A5}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333FF"/>
      <color rgb="FFFF0066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>
                <a:softEdge rad="0"/>
              </a:effectLst>
            </c:spPr>
            <c:trendlineType val="linear"/>
            <c:dispRSqr val="0"/>
            <c:dispEq val="0"/>
          </c:trendline>
          <c:xVal>
            <c:numRef>
              <c:f>Forecast!$C$3:$C$14</c:f>
              <c:numCache>
                <c:formatCode>0"A"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xVal>
          <c:yVal>
            <c:numRef>
              <c:f>Forecast!$D$3:$D$14</c:f>
              <c:numCache>
                <c:formatCode>#,##0.0</c:formatCode>
                <c:ptCount val="12"/>
                <c:pt idx="0">
                  <c:v>263159</c:v>
                </c:pt>
                <c:pt idx="1">
                  <c:v>273046</c:v>
                </c:pt>
                <c:pt idx="2">
                  <c:v>269693</c:v>
                </c:pt>
                <c:pt idx="3">
                  <c:v>291550</c:v>
                </c:pt>
                <c:pt idx="4">
                  <c:v>301938</c:v>
                </c:pt>
                <c:pt idx="5">
                  <c:v>261068</c:v>
                </c:pt>
                <c:pt idx="6">
                  <c:v>249795</c:v>
                </c:pt>
                <c:pt idx="7">
                  <c:v>278454</c:v>
                </c:pt>
                <c:pt idx="8">
                  <c:v>345967</c:v>
                </c:pt>
                <c:pt idx="9">
                  <c:v>434016</c:v>
                </c:pt>
                <c:pt idx="10">
                  <c:v>439695</c:v>
                </c:pt>
                <c:pt idx="11">
                  <c:v>335582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E-4011-9D4B-8255C6CB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810208"/>
        <c:axId val="502809248"/>
      </c:scatterChart>
      <c:valAx>
        <c:axId val="50281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09248"/>
        <c:crosses val="autoZero"/>
        <c:crossBetween val="midCat"/>
      </c:valAx>
      <c:valAx>
        <c:axId val="5028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1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0</xdr:row>
      <xdr:rowOff>173100</xdr:rowOff>
    </xdr:from>
    <xdr:to>
      <xdr:col>9</xdr:col>
      <xdr:colOff>441960</xdr:colOff>
      <xdr:row>10</xdr:row>
      <xdr:rowOff>129539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5D45D-6A0D-8722-E988-405C5750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mmon%20size%20statement.xlsx" TargetMode="External"/><Relationship Id="rId2" Type="http://schemas.openxmlformats.org/officeDocument/2006/relationships/externalLinkPath" Target="file:///C:\Users\SUMEDH%20KAGWADE\Downloads\common%20size%20statement.xlsx" TargetMode="External"/><Relationship Id="rId1" Type="http://schemas.openxmlformats.org/officeDocument/2006/relationships/externalLinkPath" Target="/Users/SUMEDH%20KAGWADE/Downloads/common%20size%20stat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mon Size Statement"/>
      <sheetName val="Data Set"/>
    </sheetNames>
    <sheetDataSet>
      <sheetData sheetId="0"/>
      <sheetData sheetId="1">
        <row r="1">
          <cell r="B1" t="str">
            <v>SUN PHARMACEUTICAL INDUSTRIES LTD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Normal="100" zoomScaleSheetLayoutView="100" zoomScalePageLayoutView="120" workbookViewId="0">
      <pane xSplit="1" ySplit="4" topLeftCell="E5" activePane="bottomRight" state="frozen"/>
      <selection activeCell="I2" sqref="I2"/>
      <selection pane="topRight" activeCell="I2" sqref="I2"/>
      <selection pane="bottomLeft" activeCell="I2" sqref="I2"/>
      <selection pane="bottomRight" activeCell="L6" sqref="L6"/>
    </sheetView>
  </sheetViews>
  <sheetFormatPr defaultColWidth="8.77734375" defaultRowHeight="14.4" x14ac:dyDescent="0.3"/>
  <cols>
    <col min="1" max="1" width="19.554687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SUN PHARMACEUTICAL INDUSTRIES LTD</v>
      </c>
      <c r="H1" t="str">
        <f>UPDATE</f>
        <v>SUN PHARMACEUTICAL INDUSTRIES LTD</v>
      </c>
      <c r="J1" s="3"/>
      <c r="K1" s="3"/>
      <c r="M1" s="2" t="s">
        <v>1</v>
      </c>
    </row>
    <row r="3" spans="1:14" s="2" customFormat="1" x14ac:dyDescent="0.3">
      <c r="A3" s="10" t="s">
        <v>2</v>
      </c>
      <c r="B3" s="11">
        <f>'Data Sheet'!B16</f>
        <v>42825</v>
      </c>
      <c r="C3" s="11">
        <f>'Data Sheet'!C16</f>
        <v>43190</v>
      </c>
      <c r="D3" s="11">
        <f>'Data Sheet'!D16</f>
        <v>43555</v>
      </c>
      <c r="E3" s="11">
        <f>'Data Sheet'!E16</f>
        <v>43921</v>
      </c>
      <c r="F3" s="11">
        <f>'Data Sheet'!F16</f>
        <v>44286</v>
      </c>
      <c r="G3" s="11">
        <f>'Data Sheet'!G16</f>
        <v>44651</v>
      </c>
      <c r="H3" s="11">
        <f>'Data Sheet'!H16</f>
        <v>45016</v>
      </c>
      <c r="I3" s="11">
        <f>'Data Sheet'!I16</f>
        <v>45382</v>
      </c>
      <c r="J3" s="11">
        <f>'Data Sheet'!J16</f>
        <v>45747</v>
      </c>
      <c r="K3" s="11">
        <f>'Data Sheet'!K16</f>
        <v>46112</v>
      </c>
      <c r="L3" s="12" t="s">
        <v>3</v>
      </c>
      <c r="M3" s="12" t="s">
        <v>4</v>
      </c>
      <c r="N3" s="12" t="s">
        <v>5</v>
      </c>
    </row>
    <row r="4" spans="1:14" s="2" customFormat="1" x14ac:dyDescent="0.3">
      <c r="A4" s="2" t="s">
        <v>6</v>
      </c>
      <c r="B4" s="1">
        <f>'Data Sheet'!B17</f>
        <v>31578.44</v>
      </c>
      <c r="C4" s="1">
        <f>'Data Sheet'!C17</f>
        <v>26489.46</v>
      </c>
      <c r="D4" s="1">
        <f>'Data Sheet'!D17</f>
        <v>29065.91</v>
      </c>
      <c r="E4" s="1">
        <f>'Data Sheet'!E17</f>
        <v>32837.5</v>
      </c>
      <c r="F4" s="1">
        <f>'Data Sheet'!F17</f>
        <v>33498.14</v>
      </c>
      <c r="G4" s="1">
        <f>'Data Sheet'!G17</f>
        <v>38654.49</v>
      </c>
      <c r="H4" s="1">
        <f>'Data Sheet'!H17</f>
        <v>43885.68</v>
      </c>
      <c r="I4" s="1">
        <f>'Data Sheet'!I17</f>
        <v>48496.85</v>
      </c>
      <c r="J4" s="1">
        <f>'Data Sheet'!J17</f>
        <v>52578.44</v>
      </c>
      <c r="K4" s="1">
        <f>'Data Sheet'!K17</f>
        <v>58462.04</v>
      </c>
      <c r="L4" s="1">
        <f>SUM('Data Sheet'!H42:K42)</f>
        <v>58462.04</v>
      </c>
      <c r="M4" s="1">
        <f>$K4+M23*K4</f>
        <v>65004.022960011745</v>
      </c>
      <c r="N4" s="1">
        <f>$K4+N23*L4</f>
        <v>62602.882692633517</v>
      </c>
    </row>
    <row r="5" spans="1:14" x14ac:dyDescent="0.3">
      <c r="A5" t="s">
        <v>7</v>
      </c>
      <c r="B5" s="6">
        <f>SUM('Data Sheet'!B18,'Data Sheet'!B20:B24, -1*'Data Sheet'!B19)</f>
        <v>21476.420000000002</v>
      </c>
      <c r="C5" s="6">
        <f>SUM('Data Sheet'!C18,'Data Sheet'!C20:C24, -1*'Data Sheet'!C19)</f>
        <v>20858.04</v>
      </c>
      <c r="D5" s="6">
        <f>SUM('Data Sheet'!D18,'Data Sheet'!D20:D24, -1*'Data Sheet'!D19)</f>
        <v>22688.929999999997</v>
      </c>
      <c r="E5" s="6">
        <f>SUM('Data Sheet'!E18,'Data Sheet'!E20:E24, -1*'Data Sheet'!E19)</f>
        <v>25854.659999999996</v>
      </c>
      <c r="F5" s="6">
        <f>SUM('Data Sheet'!F18,'Data Sheet'!F20:F24, -1*'Data Sheet'!F19)</f>
        <v>25028.18</v>
      </c>
      <c r="G5" s="6">
        <f>SUM('Data Sheet'!G18,'Data Sheet'!G20:G24, -1*'Data Sheet'!G19)</f>
        <v>28396.920000000002</v>
      </c>
      <c r="H5" s="6">
        <f>SUM('Data Sheet'!H18,'Data Sheet'!H20:H24, -1*'Data Sheet'!H19)</f>
        <v>32235.24</v>
      </c>
      <c r="I5" s="6">
        <f>SUM('Data Sheet'!I18,'Data Sheet'!I20:I24, -1*'Data Sheet'!I19)</f>
        <v>35479.08</v>
      </c>
      <c r="J5" s="6">
        <f>SUM('Data Sheet'!J18,'Data Sheet'!J20:J24, -1*'Data Sheet'!J19)</f>
        <v>37463.979999999996</v>
      </c>
      <c r="K5" s="6">
        <f>SUM('Data Sheet'!K18,'Data Sheet'!K20:K24, -1*'Data Sheet'!K19)</f>
        <v>40730.639999999992</v>
      </c>
      <c r="L5" s="6">
        <f>SUM('Data Sheet'!H43:K43)</f>
        <v>40730.639999999999</v>
      </c>
      <c r="M5" s="6">
        <f>M4-M6</f>
        <v>45288.45482873969</v>
      </c>
      <c r="N5" s="6">
        <f t="shared" ref="N5" si="0">N4-N6</f>
        <v>45931.623101262696</v>
      </c>
    </row>
    <row r="6" spans="1:14" s="2" customFormat="1" x14ac:dyDescent="0.3">
      <c r="A6" s="2" t="s">
        <v>8</v>
      </c>
      <c r="B6" s="1">
        <f>B4-B5</f>
        <v>10102.019999999997</v>
      </c>
      <c r="C6" s="1">
        <f t="shared" ref="C6:K6" si="1">C4-C5</f>
        <v>5631.4199999999983</v>
      </c>
      <c r="D6" s="1">
        <f t="shared" si="1"/>
        <v>6376.9800000000032</v>
      </c>
      <c r="E6" s="1">
        <f t="shared" si="1"/>
        <v>6982.8400000000038</v>
      </c>
      <c r="F6" s="1">
        <f t="shared" si="1"/>
        <v>8469.9599999999991</v>
      </c>
      <c r="G6" s="1">
        <f t="shared" si="1"/>
        <v>10257.569999999996</v>
      </c>
      <c r="H6" s="1">
        <f t="shared" si="1"/>
        <v>11650.439999999999</v>
      </c>
      <c r="I6" s="1">
        <f t="shared" si="1"/>
        <v>13017.769999999997</v>
      </c>
      <c r="J6" s="1">
        <f t="shared" si="1"/>
        <v>15114.460000000006</v>
      </c>
      <c r="K6" s="1">
        <f t="shared" si="1"/>
        <v>17731.400000000009</v>
      </c>
      <c r="L6" s="1">
        <f>SUM('Data Sheet'!H50:K50)</f>
        <v>17731.399999999998</v>
      </c>
      <c r="M6" s="1">
        <f>M4*M24</f>
        <v>19715.568131272055</v>
      </c>
      <c r="N6" s="1">
        <f>N4*N24</f>
        <v>16671.259591370825</v>
      </c>
    </row>
    <row r="7" spans="1:14" x14ac:dyDescent="0.3">
      <c r="A7" t="s">
        <v>9</v>
      </c>
      <c r="B7" s="6">
        <f>'Data Sheet'!B25</f>
        <v>610.4</v>
      </c>
      <c r="C7" s="6">
        <f>'Data Sheet'!C25</f>
        <v>-135.03</v>
      </c>
      <c r="D7" s="6">
        <f>'Data Sheet'!D25</f>
        <v>-258.27999999999997</v>
      </c>
      <c r="E7" s="6">
        <f>'Data Sheet'!E25</f>
        <v>382.26</v>
      </c>
      <c r="F7" s="6">
        <f>'Data Sheet'!F25</f>
        <v>-3449.21</v>
      </c>
      <c r="G7" s="6">
        <f>'Data Sheet'!G25</f>
        <v>-3505.16</v>
      </c>
      <c r="H7" s="6">
        <f>'Data Sheet'!H25</f>
        <v>459.42</v>
      </c>
      <c r="I7" s="6">
        <f>'Data Sheet'!I25</f>
        <v>865.23</v>
      </c>
      <c r="J7" s="6">
        <f>'Data Sheet'!J25</f>
        <v>1444.42</v>
      </c>
      <c r="K7" s="6">
        <f>'Data Sheet'!K25</f>
        <v>664.24</v>
      </c>
      <c r="L7" s="6" t="e">
        <f>SUM(#REF!)</f>
        <v>#REF!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1264.75</v>
      </c>
      <c r="C8" s="6">
        <f>'Data Sheet'!C26</f>
        <v>1499.84</v>
      </c>
      <c r="D8" s="6">
        <f>'Data Sheet'!D26</f>
        <v>1753.25</v>
      </c>
      <c r="E8" s="6">
        <f>'Data Sheet'!E26</f>
        <v>2052.7800000000002</v>
      </c>
      <c r="F8" s="6">
        <f>'Data Sheet'!F26</f>
        <v>2079.9499999999998</v>
      </c>
      <c r="G8" s="6">
        <f>'Data Sheet'!G26</f>
        <v>2143.7399999999998</v>
      </c>
      <c r="H8" s="6">
        <f>'Data Sheet'!H26</f>
        <v>2529.4299999999998</v>
      </c>
      <c r="I8" s="6">
        <f>'Data Sheet'!I26</f>
        <v>2556.64</v>
      </c>
      <c r="J8" s="6">
        <f>'Data Sheet'!J26</f>
        <v>2575.39</v>
      </c>
      <c r="K8" s="6">
        <f>'Data Sheet'!K26</f>
        <v>2937.85</v>
      </c>
      <c r="L8" s="6" t="e">
        <f>SUM(#REF!)</f>
        <v>#REF!</v>
      </c>
      <c r="M8" s="6" t="e">
        <f>+$L8</f>
        <v>#REF!</v>
      </c>
      <c r="N8" s="6" t="e">
        <f>+$L8</f>
        <v>#REF!</v>
      </c>
    </row>
    <row r="9" spans="1:14" x14ac:dyDescent="0.3">
      <c r="A9" t="s">
        <v>11</v>
      </c>
      <c r="B9" s="6">
        <f>'Data Sheet'!B27</f>
        <v>399.8</v>
      </c>
      <c r="C9" s="6">
        <f>'Data Sheet'!C27</f>
        <v>517.57000000000005</v>
      </c>
      <c r="D9" s="6">
        <f>'Data Sheet'!D27</f>
        <v>555.25</v>
      </c>
      <c r="E9" s="6">
        <f>'Data Sheet'!E27</f>
        <v>302.73</v>
      </c>
      <c r="F9" s="6">
        <f>'Data Sheet'!F27</f>
        <v>141.43</v>
      </c>
      <c r="G9" s="6">
        <f>'Data Sheet'!G27</f>
        <v>127.35</v>
      </c>
      <c r="H9" s="6">
        <f>'Data Sheet'!H27</f>
        <v>172</v>
      </c>
      <c r="I9" s="6">
        <f>'Data Sheet'!I27</f>
        <v>238.47</v>
      </c>
      <c r="J9" s="6">
        <f>'Data Sheet'!J27</f>
        <v>231.36</v>
      </c>
      <c r="K9" s="6">
        <f>'Data Sheet'!K27</f>
        <v>338.91</v>
      </c>
      <c r="L9" s="6" t="e">
        <f>SUM(#REF!)</f>
        <v>#REF!</v>
      </c>
      <c r="M9" s="6" t="e">
        <f>+$L9</f>
        <v>#REF!</v>
      </c>
      <c r="N9" s="6" t="e">
        <f>+$L9</f>
        <v>#REF!</v>
      </c>
    </row>
    <row r="10" spans="1:14" x14ac:dyDescent="0.3">
      <c r="A10" t="s">
        <v>12</v>
      </c>
      <c r="B10" s="6">
        <f>'Data Sheet'!B28</f>
        <v>9047.8700000000008</v>
      </c>
      <c r="C10" s="6">
        <f>'Data Sheet'!C28</f>
        <v>3478.98</v>
      </c>
      <c r="D10" s="6">
        <f>'Data Sheet'!D28</f>
        <v>3810.2</v>
      </c>
      <c r="E10" s="6">
        <f>'Data Sheet'!E28</f>
        <v>5009.59</v>
      </c>
      <c r="F10" s="6">
        <f>'Data Sheet'!F28</f>
        <v>2799.37</v>
      </c>
      <c r="G10" s="6">
        <f>'Data Sheet'!G28</f>
        <v>4481.32</v>
      </c>
      <c r="H10" s="6">
        <f>'Data Sheet'!H28</f>
        <v>9408.43</v>
      </c>
      <c r="I10" s="6">
        <f>'Data Sheet'!I28</f>
        <v>11087.89</v>
      </c>
      <c r="J10" s="6">
        <f>'Data Sheet'!J28</f>
        <v>13752.13</v>
      </c>
      <c r="K10" s="6">
        <f>'Data Sheet'!K28</f>
        <v>15118.88</v>
      </c>
      <c r="L10" s="6" t="e">
        <f>SUM(#REF!)</f>
        <v>#REF!</v>
      </c>
      <c r="M10" s="6" t="e">
        <f>M6+M7-SUM(M8:M9)</f>
        <v>#REF!</v>
      </c>
      <c r="N10" s="6" t="e">
        <f>N6+N7-SUM(N8:N9)</f>
        <v>#REF!</v>
      </c>
    </row>
    <row r="11" spans="1:14" x14ac:dyDescent="0.3">
      <c r="A11" t="s">
        <v>13</v>
      </c>
      <c r="B11" s="6">
        <f>'Data Sheet'!B29</f>
        <v>1211.57</v>
      </c>
      <c r="C11" s="6">
        <f>'Data Sheet'!C29</f>
        <v>911.04</v>
      </c>
      <c r="D11" s="6">
        <f>'Data Sheet'!D29</f>
        <v>600.88</v>
      </c>
      <c r="E11" s="6">
        <f>'Data Sheet'!E29</f>
        <v>822.8</v>
      </c>
      <c r="F11" s="6">
        <f>'Data Sheet'!F29</f>
        <v>514.69000000000005</v>
      </c>
      <c r="G11" s="6">
        <f>'Data Sheet'!G29</f>
        <v>1075.5</v>
      </c>
      <c r="H11" s="6">
        <f>'Data Sheet'!H29</f>
        <v>847.59</v>
      </c>
      <c r="I11" s="6">
        <f>'Data Sheet'!I29</f>
        <v>1439.45</v>
      </c>
      <c r="J11" s="6">
        <f>'Data Sheet'!J29</f>
        <v>2772.03</v>
      </c>
      <c r="K11" s="6">
        <f>'Data Sheet'!K29</f>
        <v>3554.36</v>
      </c>
      <c r="L11" s="6" t="e">
        <f>SUM(#REF!)</f>
        <v>#REF!</v>
      </c>
      <c r="M11" s="7" t="e">
        <f>IF($L10&gt;0,$L11/$L10,0)</f>
        <v>#REF!</v>
      </c>
      <c r="N11" s="7" t="e">
        <f>IF($L10&gt;0,$L11/$L10,0)</f>
        <v>#REF!</v>
      </c>
    </row>
    <row r="12" spans="1:14" s="2" customFormat="1" x14ac:dyDescent="0.3">
      <c r="A12" s="2" t="s">
        <v>14</v>
      </c>
      <c r="B12" s="1">
        <f>'Data Sheet'!B30</f>
        <v>6964.37</v>
      </c>
      <c r="C12" s="1">
        <f>'Data Sheet'!C30</f>
        <v>2095.6999999999998</v>
      </c>
      <c r="D12" s="1">
        <f>'Data Sheet'!D30</f>
        <v>2665.42</v>
      </c>
      <c r="E12" s="1">
        <f>'Data Sheet'!E30</f>
        <v>3764.93</v>
      </c>
      <c r="F12" s="1">
        <f>'Data Sheet'!F30</f>
        <v>2903.82</v>
      </c>
      <c r="G12" s="1">
        <f>'Data Sheet'!G30</f>
        <v>3272.73</v>
      </c>
      <c r="H12" s="1">
        <f>'Data Sheet'!H30</f>
        <v>8473.58</v>
      </c>
      <c r="I12" s="1">
        <f>'Data Sheet'!I30</f>
        <v>9576.3799999999992</v>
      </c>
      <c r="J12" s="1">
        <f>'Data Sheet'!J30</f>
        <v>10929.04</v>
      </c>
      <c r="K12" s="1">
        <f>'Data Sheet'!K30</f>
        <v>11479.42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3">
      <c r="A13" t="s">
        <v>44</v>
      </c>
      <c r="B13" s="6">
        <f>IF('Data Sheet'!B93&gt;0,B12/'Data Sheet'!B93,0)</f>
        <v>29.026674446713624</v>
      </c>
      <c r="C13" s="6">
        <f>IF('Data Sheet'!C93&gt;0,C12/'Data Sheet'!C93,0)</f>
        <v>8.7346309340224231</v>
      </c>
      <c r="D13" s="6">
        <f>IF('Data Sheet'!D93&gt;0,D12/'Data Sheet'!D93,0)</f>
        <v>11.109156837410911</v>
      </c>
      <c r="E13" s="6">
        <f>IF('Data Sheet'!E93&gt;0,E12/'Data Sheet'!E93,0)</f>
        <v>15.691785103988662</v>
      </c>
      <c r="F13" s="6">
        <f>IF('Data Sheet'!F93&gt;0,F12/'Data Sheet'!F93,0)</f>
        <v>12.102779977493435</v>
      </c>
      <c r="G13" s="6">
        <f>IF('Data Sheet'!G93&gt;0,G12/'Data Sheet'!G93,0)</f>
        <v>13.640353436418955</v>
      </c>
      <c r="H13" s="6">
        <f>IF('Data Sheet'!H93&gt;0,H12/'Data Sheet'!H93,0)</f>
        <v>35.316884091193266</v>
      </c>
      <c r="I13" s="6">
        <f>IF('Data Sheet'!I93&gt;0,I12/'Data Sheet'!I93,0)</f>
        <v>39.913224690534733</v>
      </c>
      <c r="J13" s="6">
        <f>IF('Data Sheet'!J93&gt;0,J12/'Data Sheet'!J93,0)</f>
        <v>45.550952361105324</v>
      </c>
      <c r="K13" s="6">
        <f>IF('Data Sheet'!K93&gt;0,K12/'Data Sheet'!K93,0)</f>
        <v>47.844871420831076</v>
      </c>
      <c r="L13" s="6" t="e">
        <f>IF('Data Sheet'!$B6&gt;0,'Profit &amp; Loss'!L12/'Data Sheet'!$B6,0)</f>
        <v>#REF!</v>
      </c>
      <c r="M13" s="6" t="e">
        <f>IF('Data Sheet'!$B6&gt;0,'Profit &amp; Loss'!M12/'Data Sheet'!$B6,0)</f>
        <v>#REF!</v>
      </c>
      <c r="N13" s="6" t="e">
        <f>IF('Data Sheet'!$B6&gt;0,'Profit &amp; Loss'!N12/'Data Sheet'!$B6,0)</f>
        <v>#REF!</v>
      </c>
    </row>
    <row r="14" spans="1:14" x14ac:dyDescent="0.3">
      <c r="A14" t="s">
        <v>16</v>
      </c>
      <c r="B14" s="6">
        <f>IF(B15&gt;0,B15/B13,"")</f>
        <v>23.70750398097746</v>
      </c>
      <c r="C14" s="6">
        <f t="shared" ref="C14:K14" si="2">IF(C15&gt;0,C15/C13,"")</f>
        <v>56.682417807892357</v>
      </c>
      <c r="D14" s="6">
        <f t="shared" si="2"/>
        <v>43.104081345529039</v>
      </c>
      <c r="E14" s="6">
        <f t="shared" si="2"/>
        <v>22.451237871620457</v>
      </c>
      <c r="F14" s="6">
        <f t="shared" si="2"/>
        <v>49.393610485498407</v>
      </c>
      <c r="G14" s="6">
        <f t="shared" si="2"/>
        <v>67.062045295517805</v>
      </c>
      <c r="H14" s="6">
        <f t="shared" si="2"/>
        <v>27.836544058119472</v>
      </c>
      <c r="I14" s="6">
        <f t="shared" si="2"/>
        <v>40.60183091105408</v>
      </c>
      <c r="J14" s="6">
        <f t="shared" si="2"/>
        <v>38.082628574879401</v>
      </c>
      <c r="K14" s="6">
        <f t="shared" si="2"/>
        <v>36.72702941437808</v>
      </c>
      <c r="L14" s="6" t="e">
        <f t="shared" ref="L14" si="3">IF(L13&gt;0,L15/L13,0)</f>
        <v>#REF!</v>
      </c>
      <c r="M14" s="6" t="e">
        <f>M25</f>
        <v>#REF!</v>
      </c>
      <c r="N14" s="6" t="e">
        <f>N25</f>
        <v>#REF!</v>
      </c>
    </row>
    <row r="15" spans="1:14" s="2" customFormat="1" x14ac:dyDescent="0.3">
      <c r="A15" s="2" t="s">
        <v>45</v>
      </c>
      <c r="B15" s="1">
        <f>'Data Sheet'!B90</f>
        <v>688.15</v>
      </c>
      <c r="C15" s="1">
        <f>'Data Sheet'!C90</f>
        <v>495.1</v>
      </c>
      <c r="D15" s="1">
        <f>'Data Sheet'!D90</f>
        <v>478.85</v>
      </c>
      <c r="E15" s="1">
        <f>'Data Sheet'!E90</f>
        <v>352.3</v>
      </c>
      <c r="F15" s="1">
        <f>'Data Sheet'!F90</f>
        <v>597.79999999999995</v>
      </c>
      <c r="G15" s="1">
        <f>'Data Sheet'!G90</f>
        <v>914.75</v>
      </c>
      <c r="H15" s="1">
        <f>'Data Sheet'!H90</f>
        <v>983.1</v>
      </c>
      <c r="I15" s="1">
        <f>'Data Sheet'!I90</f>
        <v>1620.55</v>
      </c>
      <c r="J15" s="1">
        <f>'Data Sheet'!J90</f>
        <v>1734.7</v>
      </c>
      <c r="K15" s="1">
        <f>'Data Sheet'!K90</f>
        <v>1757.2</v>
      </c>
      <c r="L15" s="1">
        <f>'Data Sheet'!B8</f>
        <v>1789.65</v>
      </c>
      <c r="M15" s="8" t="e">
        <f>M13*M14</f>
        <v>#REF!</v>
      </c>
      <c r="N15" s="9" t="e">
        <f>N13*N14</f>
        <v>#REF!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0.12057946375623352</v>
      </c>
      <c r="C18" s="5">
        <f>IF('Data Sheet'!C30&gt;0, 'Data Sheet'!C31/'Data Sheet'!C30, 0)</f>
        <v>0.22897361263539631</v>
      </c>
      <c r="D18" s="5">
        <f>IF('Data Sheet'!D30&gt;0, 'Data Sheet'!D31/'Data Sheet'!D30, 0)</f>
        <v>0.24754447704301757</v>
      </c>
      <c r="E18" s="5">
        <f>IF('Data Sheet'!E30&gt;0, 'Data Sheet'!E31/'Data Sheet'!E30, 0)</f>
        <v>0.25491044986228167</v>
      </c>
      <c r="F18" s="5">
        <f>IF('Data Sheet'!F30&gt;0, 'Data Sheet'!F31/'Data Sheet'!F30, 0)</f>
        <v>0.61969405817164969</v>
      </c>
      <c r="G18" s="5">
        <f>IF('Data Sheet'!G30&gt;0, 'Data Sheet'!G31/'Data Sheet'!G30, 0)</f>
        <v>0.73311883351208329</v>
      </c>
      <c r="H18" s="5">
        <f>IF('Data Sheet'!H30&gt;0, 'Data Sheet'!H31/'Data Sheet'!H30, 0)</f>
        <v>0.32562388034337314</v>
      </c>
      <c r="I18" s="5">
        <f>IF('Data Sheet'!I30&gt;0, 'Data Sheet'!I31/'Data Sheet'!I30, 0)</f>
        <v>0.33823428059454619</v>
      </c>
      <c r="J18" s="5">
        <f>IF('Data Sheet'!J30&gt;0, 'Data Sheet'!J31/'Data Sheet'!J30, 0)</f>
        <v>0.35125500501416407</v>
      </c>
      <c r="K18" s="5">
        <f>IF('Data Sheet'!K30&gt;0, 'Data Sheet'!K31/'Data Sheet'!K30, 0)</f>
        <v>0.33441410802984822</v>
      </c>
    </row>
    <row r="19" spans="1:14" x14ac:dyDescent="0.3">
      <c r="A19" t="s">
        <v>18</v>
      </c>
      <c r="B19" s="5">
        <f t="shared" ref="B19:L19" si="4">IF(B6&gt;0,B6/B4,0)</f>
        <v>0.31990243976586547</v>
      </c>
      <c r="C19" s="5">
        <f t="shared" ref="C19:K19" si="5">IF(C6&gt;0,C6/C4,0)</f>
        <v>0.21259097014435169</v>
      </c>
      <c r="D19" s="5">
        <f t="shared" si="5"/>
        <v>0.21939722513418652</v>
      </c>
      <c r="E19" s="5">
        <f t="shared" si="5"/>
        <v>0.21264834411876676</v>
      </c>
      <c r="F19" s="5">
        <f t="shared" si="5"/>
        <v>0.25284866562740499</v>
      </c>
      <c r="G19" s="5">
        <f t="shared" si="5"/>
        <v>0.26536555003053969</v>
      </c>
      <c r="H19" s="5">
        <f t="shared" si="5"/>
        <v>0.26547247302536953</v>
      </c>
      <c r="I19" s="5">
        <f t="shared" si="5"/>
        <v>0.26842506265870869</v>
      </c>
      <c r="J19" s="5">
        <f t="shared" si="5"/>
        <v>0.28746497613850858</v>
      </c>
      <c r="K19" s="5">
        <f t="shared" si="5"/>
        <v>0.3032976611832226</v>
      </c>
      <c r="L19" s="5">
        <f t="shared" si="4"/>
        <v>0.30329766118322243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0"/>
      <c r="B22" s="11"/>
      <c r="C22" s="11"/>
      <c r="D22" s="11"/>
      <c r="E22" s="11"/>
      <c r="F22" s="11"/>
      <c r="G22" s="11" t="s">
        <v>19</v>
      </c>
      <c r="H22" s="11" t="s">
        <v>50</v>
      </c>
      <c r="I22" s="11" t="s">
        <v>51</v>
      </c>
      <c r="J22" s="11" t="s">
        <v>52</v>
      </c>
      <c r="K22" s="11" t="s">
        <v>53</v>
      </c>
      <c r="L22" s="12" t="s">
        <v>54</v>
      </c>
      <c r="M22" s="12" t="s">
        <v>20</v>
      </c>
      <c r="N22" s="12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7.082959630956287E-2</v>
      </c>
      <c r="I23" s="5">
        <f>IF(D4=0,"",POWER($K4/D4,1/7)-1)</f>
        <v>0.10498331464862787</v>
      </c>
      <c r="J23" s="5">
        <f>IF(F4=0,"",POWER($K4/F4,1/5)-1)</f>
        <v>0.11781685667642106</v>
      </c>
      <c r="K23" s="5">
        <f>IF(H4=0,"",POWER($K4/H4, 1/3)-1)</f>
        <v>0.10031502802948555</v>
      </c>
      <c r="L23" s="5">
        <f>IF(ISERROR(MAX(IF(J4=0,"",(K4-J4)/J4),IF(K4=0,"",(L4-K4)/K4))),"",MAX(IF(J4=0,"",(K4-J4)/J4),IF(K4=0,"",(L4-K4)/K4)))</f>
        <v>0.11190138010941364</v>
      </c>
      <c r="M23" s="13">
        <f>MAX(K23:L23)</f>
        <v>0.11190138010941364</v>
      </c>
      <c r="N23" s="13">
        <f>MIN(H23:L23)</f>
        <v>7.082959630956287E-2</v>
      </c>
    </row>
    <row r="24" spans="1:14" x14ac:dyDescent="0.3">
      <c r="G24" t="s">
        <v>18</v>
      </c>
      <c r="H24" s="5">
        <f>IF(SUM(B4:$K$4)=0,"",SUMPRODUCT(B19:$K$19,B4:$K$4)/SUM(B4:$K$4))</f>
        <v>0.26630178794198772</v>
      </c>
      <c r="I24" s="5">
        <f>IF(SUM(E4:$K$4)=0,"",SUMPRODUCT(E19:$K$19,E4:$K$4)/SUM(E4:$K$4))</f>
        <v>0.26984725748066374</v>
      </c>
      <c r="J24" s="5">
        <f>IF(SUM(G4:$K$4)=0,"",SUMPRODUCT(G19:$K$19,G4:$K$4)/SUM(G4:$K$4))</f>
        <v>0.27995844306059015</v>
      </c>
      <c r="K24" s="5">
        <f>IF(SUM(I4:$K$4)=0, "", SUMPRODUCT(I19:$K$19,I4:$K$4)/SUM(I4:$K$4))</f>
        <v>0.28747898689291096</v>
      </c>
      <c r="L24" s="5">
        <f>L19</f>
        <v>0.30329766118322243</v>
      </c>
      <c r="M24" s="13">
        <f>MAX(K24:L24)</f>
        <v>0.30329766118322243</v>
      </c>
      <c r="N24" s="13">
        <f>MIN(H24:L24)</f>
        <v>0.26630178794198772</v>
      </c>
    </row>
    <row r="25" spans="1:14" x14ac:dyDescent="0.3">
      <c r="G25" t="s">
        <v>23</v>
      </c>
      <c r="H25" s="6">
        <f>IF(ISERROR(AVERAGEIF(B14:$L14,"&gt;0")),"",AVERAGEIF(B14:$L14,"&gt;0"))</f>
        <v>40.564892974546652</v>
      </c>
      <c r="I25" s="6">
        <f>IF(ISERROR(AVERAGEIF(E14:$L14,"&gt;0")),"",AVERAGEIF(E14:$L14,"&gt;0"))</f>
        <v>40.30784665872396</v>
      </c>
      <c r="J25" s="6">
        <f>IF(ISERROR(AVERAGEIF(G14:$L14,"&gt;0")),"",AVERAGEIF(G14:$L14,"&gt;0"))</f>
        <v>42.062015650789768</v>
      </c>
      <c r="K25" s="6">
        <f>IF(ISERROR(AVERAGEIF(I14:$L14,"&gt;0")),"",AVERAGEIF(I14:$L14,"&gt;0"))</f>
        <v>38.470496300103854</v>
      </c>
      <c r="L25" s="6" t="e">
        <f>L14</f>
        <v>#REF!</v>
      </c>
      <c r="M25" s="1" t="e">
        <f>MAX(K25:L25)</f>
        <v>#REF!</v>
      </c>
      <c r="N25" s="1" t="e">
        <f>MIN(H25:L25)</f>
        <v>#REF!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7941-54E8-462D-BE44-8260A78CC3FC}">
  <sheetPr codeName="Sheet3">
    <tabColor theme="2" tint="-0.249977111117893"/>
  </sheetPr>
  <dimension ref="A2:AA121"/>
  <sheetViews>
    <sheetView showGridLines="0" zoomScale="97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29" sqref="L29"/>
    </sheetView>
  </sheetViews>
  <sheetFormatPr defaultRowHeight="14.4" x14ac:dyDescent="0.3"/>
  <cols>
    <col min="1" max="1" width="2" bestFit="1" customWidth="1"/>
    <col min="2" max="2" width="23.88671875" customWidth="1"/>
    <col min="3" max="12" width="12" bestFit="1" customWidth="1"/>
    <col min="13" max="13" width="13.21875" bestFit="1" customWidth="1"/>
    <col min="14" max="14" width="10.44140625" bestFit="1" customWidth="1"/>
    <col min="16" max="16" width="12.21875" bestFit="1" customWidth="1"/>
    <col min="17" max="18" width="8.5546875" bestFit="1" customWidth="1"/>
    <col min="19" max="19" width="10.6640625" bestFit="1" customWidth="1"/>
    <col min="20" max="20" width="7.21875" bestFit="1" customWidth="1"/>
    <col min="21" max="21" width="10.6640625" bestFit="1" customWidth="1"/>
    <col min="22" max="22" width="10" bestFit="1" customWidth="1"/>
    <col min="23" max="24" width="8.5546875" bestFit="1" customWidth="1"/>
    <col min="25" max="27" width="9.5546875" bestFit="1" customWidth="1"/>
  </cols>
  <sheetData>
    <row r="2" spans="1:13" x14ac:dyDescent="0.3">
      <c r="B2" s="169" t="str">
        <f>"Historical Financial Statement - "&amp;UPDATE</f>
        <v>Historical Financial Statement - SUN PHARMACEUTICAL INDUSTRIES LTD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3" x14ac:dyDescent="0.3">
      <c r="B3" s="17" t="s">
        <v>75</v>
      </c>
      <c r="C3" s="18">
        <f>'Data Sheet'!B16</f>
        <v>42825</v>
      </c>
      <c r="D3" s="18">
        <f>'Data Sheet'!C16</f>
        <v>43190</v>
      </c>
      <c r="E3" s="18">
        <f>'Data Sheet'!D16</f>
        <v>43555</v>
      </c>
      <c r="F3" s="18">
        <f>'Data Sheet'!E16</f>
        <v>43921</v>
      </c>
      <c r="G3" s="18">
        <f>'Data Sheet'!F16</f>
        <v>44286</v>
      </c>
      <c r="H3" s="18">
        <f>'Data Sheet'!G16</f>
        <v>44651</v>
      </c>
      <c r="I3" s="18">
        <f>'Data Sheet'!H16</f>
        <v>45016</v>
      </c>
      <c r="J3" s="18">
        <f>'Data Sheet'!I16</f>
        <v>45382</v>
      </c>
      <c r="K3" s="18">
        <f>'Data Sheet'!J16</f>
        <v>45747</v>
      </c>
      <c r="L3" s="18">
        <f>'Data Sheet'!K16</f>
        <v>46112</v>
      </c>
      <c r="M3" s="19" t="s">
        <v>76</v>
      </c>
    </row>
    <row r="5" spans="1:13" x14ac:dyDescent="0.3">
      <c r="A5" t="s">
        <v>78</v>
      </c>
      <c r="B5" s="24" t="s">
        <v>77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3">
      <c r="B6" t="s">
        <v>6</v>
      </c>
      <c r="C6" s="25">
        <f>IFERROR('Data Sheet'!B17,0)</f>
        <v>31578.44</v>
      </c>
      <c r="D6" s="25">
        <f>IFERROR('Data Sheet'!C17,0)</f>
        <v>26489.46</v>
      </c>
      <c r="E6" s="25">
        <f>IFERROR('Data Sheet'!D17,0)</f>
        <v>29065.91</v>
      </c>
      <c r="F6" s="25">
        <f>IFERROR('Data Sheet'!E17,0)</f>
        <v>32837.5</v>
      </c>
      <c r="G6" s="25">
        <f>IFERROR('Data Sheet'!F17,0)</f>
        <v>33498.14</v>
      </c>
      <c r="H6" s="25">
        <f>IFERROR('Data Sheet'!G17,0)</f>
        <v>38654.49</v>
      </c>
      <c r="I6" s="25">
        <f>IFERROR('Data Sheet'!H17,0)</f>
        <v>43885.68</v>
      </c>
      <c r="J6" s="25">
        <f>IFERROR('Data Sheet'!I17,0)</f>
        <v>48496.85</v>
      </c>
      <c r="K6" s="25">
        <f>IFERROR('Data Sheet'!J17,0)</f>
        <v>52578.44</v>
      </c>
      <c r="L6" s="25">
        <f>IFERROR('Data Sheet'!K17,0)</f>
        <v>58462.04</v>
      </c>
      <c r="M6" s="25">
        <f>IFERROR(SUM('Data Sheet'!H42:K42),0)</f>
        <v>58462.04</v>
      </c>
    </row>
    <row r="7" spans="1:13" x14ac:dyDescent="0.3">
      <c r="B7" s="21" t="s">
        <v>22</v>
      </c>
      <c r="C7" s="33" t="s">
        <v>143</v>
      </c>
      <c r="D7" s="22">
        <f>D6/C6-1</f>
        <v>-0.16115362253486876</v>
      </c>
      <c r="E7" s="22">
        <f t="shared" ref="E7:L7" si="0">E6/D6-1</f>
        <v>9.7263213368637969E-2</v>
      </c>
      <c r="F7" s="22">
        <f t="shared" si="0"/>
        <v>0.12975991462163061</v>
      </c>
      <c r="G7" s="22">
        <f t="shared" si="0"/>
        <v>2.0118462124095959E-2</v>
      </c>
      <c r="H7" s="22">
        <f t="shared" si="0"/>
        <v>0.15392944205260339</v>
      </c>
      <c r="I7" s="22">
        <f t="shared" si="0"/>
        <v>0.1353320144697292</v>
      </c>
      <c r="J7" s="22">
        <f t="shared" si="0"/>
        <v>0.10507231516066295</v>
      </c>
      <c r="K7" s="22">
        <f t="shared" si="0"/>
        <v>8.4161961034582733E-2</v>
      </c>
      <c r="L7" s="22">
        <f t="shared" si="0"/>
        <v>0.11190138010941353</v>
      </c>
      <c r="M7" s="22">
        <f>M6/L6-1</f>
        <v>0</v>
      </c>
    </row>
    <row r="9" spans="1:13" x14ac:dyDescent="0.3">
      <c r="B9" t="s">
        <v>79</v>
      </c>
      <c r="C9" s="25">
        <f>IFERROR(SUM('Data Sheet'!B18,'Data Sheet'!B20:B22)-1*'Data Sheet'!B19,0)</f>
        <v>15531.590000000002</v>
      </c>
      <c r="D9" s="25">
        <f>IFERROR(SUM('Data Sheet'!C18,'Data Sheet'!C20:C22)-1*'Data Sheet'!C19,0)</f>
        <v>15180.05</v>
      </c>
      <c r="E9" s="25">
        <f>IFERROR(SUM('Data Sheet'!D18,'Data Sheet'!D20:D22)-1*'Data Sheet'!D19,0)</f>
        <v>16334.369999999999</v>
      </c>
      <c r="F9" s="25">
        <f>IFERROR(SUM('Data Sheet'!E18,'Data Sheet'!E20:E22)-1*'Data Sheet'!E19,0)</f>
        <v>17904.689999999999</v>
      </c>
      <c r="G9" s="25">
        <f>IFERROR(SUM('Data Sheet'!F18,'Data Sheet'!F20:F22)-1*'Data Sheet'!F19,0)</f>
        <v>17903.18</v>
      </c>
      <c r="H9" s="25">
        <f>IFERROR(SUM('Data Sheet'!G18,'Data Sheet'!G20:G22)-1*'Data Sheet'!G19,0)</f>
        <v>20235.86</v>
      </c>
      <c r="I9" s="25">
        <f>IFERROR(SUM('Data Sheet'!H18,'Data Sheet'!H20:H22)-1*'Data Sheet'!H19,0)</f>
        <v>21725.01</v>
      </c>
      <c r="J9" s="25">
        <f>IFERROR(SUM('Data Sheet'!I18,'Data Sheet'!I20:I22)-1*'Data Sheet'!I19,0)</f>
        <v>23039.070000000003</v>
      </c>
      <c r="K9" s="25">
        <f>IFERROR(SUM('Data Sheet'!J18,'Data Sheet'!J20:J22)-1*'Data Sheet'!J19,0)</f>
        <v>23732.12</v>
      </c>
      <c r="L9" s="25">
        <f>IFERROR(SUM('Data Sheet'!K18,'Data Sheet'!K20:K22)-1*'Data Sheet'!K19,0)</f>
        <v>22962.54</v>
      </c>
      <c r="M9" s="25">
        <f>IFERROR(SUM('Data Sheet'!H43:K43),0)</f>
        <v>40730.639999999999</v>
      </c>
    </row>
    <row r="10" spans="1:13" x14ac:dyDescent="0.3">
      <c r="B10" s="21" t="s">
        <v>80</v>
      </c>
      <c r="C10" s="22">
        <f>C9/C6</f>
        <v>0.49184158558814184</v>
      </c>
      <c r="D10" s="22">
        <f t="shared" ref="D10:M10" si="1">D9/D6</f>
        <v>0.57306000197814522</v>
      </c>
      <c r="E10" s="22">
        <f t="shared" si="1"/>
        <v>0.56197690008673384</v>
      </c>
      <c r="F10" s="22">
        <f t="shared" si="1"/>
        <v>0.54525131328511611</v>
      </c>
      <c r="G10" s="22">
        <f t="shared" si="1"/>
        <v>0.53445295768660595</v>
      </c>
      <c r="H10" s="22">
        <f t="shared" si="1"/>
        <v>0.52350606617756446</v>
      </c>
      <c r="I10" s="22">
        <f t="shared" si="1"/>
        <v>0.49503642190345459</v>
      </c>
      <c r="J10" s="22">
        <f t="shared" si="1"/>
        <v>0.47506322575589971</v>
      </c>
      <c r="K10" s="22">
        <f t="shared" si="1"/>
        <v>0.45136599716537801</v>
      </c>
      <c r="L10" s="22">
        <f t="shared" si="1"/>
        <v>0.3927769198611612</v>
      </c>
      <c r="M10" s="22">
        <f t="shared" si="1"/>
        <v>0.69670233881677746</v>
      </c>
    </row>
    <row r="12" spans="1:13" x14ac:dyDescent="0.3">
      <c r="B12" s="34" t="s">
        <v>81</v>
      </c>
      <c r="C12" s="35">
        <f>C6-C9</f>
        <v>16046.849999999997</v>
      </c>
      <c r="D12" s="35">
        <f t="shared" ref="D12:M12" si="2">D6-D9</f>
        <v>11309.41</v>
      </c>
      <c r="E12" s="35">
        <f t="shared" si="2"/>
        <v>12731.54</v>
      </c>
      <c r="F12" s="35">
        <f t="shared" si="2"/>
        <v>14932.810000000001</v>
      </c>
      <c r="G12" s="35">
        <f t="shared" si="2"/>
        <v>15594.96</v>
      </c>
      <c r="H12" s="35">
        <f t="shared" si="2"/>
        <v>18418.629999999997</v>
      </c>
      <c r="I12" s="35">
        <f t="shared" si="2"/>
        <v>22160.670000000002</v>
      </c>
      <c r="J12" s="35">
        <f t="shared" si="2"/>
        <v>25457.779999999995</v>
      </c>
      <c r="K12" s="35">
        <f t="shared" si="2"/>
        <v>28846.320000000003</v>
      </c>
      <c r="L12" s="35">
        <f t="shared" si="2"/>
        <v>35499.5</v>
      </c>
      <c r="M12" s="35">
        <f t="shared" si="2"/>
        <v>17731.400000000001</v>
      </c>
    </row>
    <row r="13" spans="1:13" x14ac:dyDescent="0.3">
      <c r="B13" s="21" t="s">
        <v>88</v>
      </c>
      <c r="C13" s="22">
        <f>C12/C6</f>
        <v>0.50815841441185816</v>
      </c>
      <c r="D13" s="22">
        <f t="shared" ref="D13:M13" si="3">D12/D6</f>
        <v>0.42693999802185473</v>
      </c>
      <c r="E13" s="22">
        <f t="shared" si="3"/>
        <v>0.4380230999132661</v>
      </c>
      <c r="F13" s="22">
        <f t="shared" si="3"/>
        <v>0.45474868671488394</v>
      </c>
      <c r="G13" s="22">
        <f t="shared" si="3"/>
        <v>0.46554704231339411</v>
      </c>
      <c r="H13" s="22">
        <f t="shared" si="3"/>
        <v>0.4764939338224356</v>
      </c>
      <c r="I13" s="22">
        <f t="shared" si="3"/>
        <v>0.50496357809654546</v>
      </c>
      <c r="J13" s="22">
        <f t="shared" si="3"/>
        <v>0.52493677424410035</v>
      </c>
      <c r="K13" s="22">
        <f t="shared" si="3"/>
        <v>0.54863400283462194</v>
      </c>
      <c r="L13" s="22">
        <f t="shared" si="3"/>
        <v>0.60722308013883874</v>
      </c>
      <c r="M13" s="22">
        <f t="shared" si="3"/>
        <v>0.30329766118322249</v>
      </c>
    </row>
    <row r="15" spans="1:13" x14ac:dyDescent="0.3">
      <c r="B15" t="s">
        <v>82</v>
      </c>
      <c r="C15" s="25">
        <f>IFERROR(SUM('Data Sheet'!B23:B24),0)</f>
        <v>5944.83</v>
      </c>
      <c r="D15" s="25">
        <f>IFERROR(SUM('Data Sheet'!C23:C24),0)</f>
        <v>5677.99</v>
      </c>
      <c r="E15" s="25">
        <f>IFERROR(SUM('Data Sheet'!D23:D24),0)</f>
        <v>6354.5599999999995</v>
      </c>
      <c r="F15" s="25">
        <f>IFERROR(SUM('Data Sheet'!E23:E24),0)</f>
        <v>7949.97</v>
      </c>
      <c r="G15" s="25">
        <f>IFERROR(SUM('Data Sheet'!F23:F24),0)</f>
        <v>7125</v>
      </c>
      <c r="H15" s="25">
        <f>IFERROR(SUM('Data Sheet'!G23:G24),0)</f>
        <v>8161.06</v>
      </c>
      <c r="I15" s="25">
        <f>IFERROR(SUM('Data Sheet'!H23:H24),0)</f>
        <v>10510.23</v>
      </c>
      <c r="J15" s="25">
        <f>IFERROR(SUM('Data Sheet'!I23:I24),0)</f>
        <v>12440.01</v>
      </c>
      <c r="K15" s="25">
        <f>IFERROR(SUM('Data Sheet'!J23:J24),0)</f>
        <v>13731.86</v>
      </c>
      <c r="L15" s="25">
        <f>IFERROR(SUM('Data Sheet'!K23:K24),0)</f>
        <v>17768.099999999999</v>
      </c>
      <c r="M15" s="25">
        <v>0</v>
      </c>
    </row>
    <row r="16" spans="1:13" x14ac:dyDescent="0.3">
      <c r="B16" s="21" t="s">
        <v>84</v>
      </c>
      <c r="C16" s="22">
        <f t="shared" ref="C16:L16" si="4">C15/C6</f>
        <v>0.18825597464599264</v>
      </c>
      <c r="D16" s="22">
        <f t="shared" si="4"/>
        <v>0.21434902787750298</v>
      </c>
      <c r="E16" s="22">
        <f t="shared" si="4"/>
        <v>0.21862587477907966</v>
      </c>
      <c r="F16" s="22">
        <f t="shared" si="4"/>
        <v>0.24210034259611726</v>
      </c>
      <c r="G16" s="22">
        <f t="shared" si="4"/>
        <v>0.21269837668598915</v>
      </c>
      <c r="H16" s="22">
        <f t="shared" si="4"/>
        <v>0.21112838379189586</v>
      </c>
      <c r="I16" s="22">
        <f t="shared" si="4"/>
        <v>0.23949110507117582</v>
      </c>
      <c r="J16" s="22">
        <f t="shared" si="4"/>
        <v>0.25651171158539166</v>
      </c>
      <c r="K16" s="22">
        <f t="shared" si="4"/>
        <v>0.26116902669611347</v>
      </c>
      <c r="L16" s="22">
        <f t="shared" si="4"/>
        <v>0.30392541895561631</v>
      </c>
      <c r="M16" s="22">
        <v>0</v>
      </c>
    </row>
    <row r="18" spans="2:27" x14ac:dyDescent="0.3">
      <c r="B18" s="34" t="s">
        <v>83</v>
      </c>
      <c r="C18" s="35">
        <f t="shared" ref="C18:M18" si="5">C12-C15</f>
        <v>10102.019999999997</v>
      </c>
      <c r="D18" s="35">
        <f t="shared" si="5"/>
        <v>5631.42</v>
      </c>
      <c r="E18" s="35">
        <f t="shared" si="5"/>
        <v>6376.9800000000014</v>
      </c>
      <c r="F18" s="35">
        <f t="shared" si="5"/>
        <v>6982.8400000000011</v>
      </c>
      <c r="G18" s="35">
        <f t="shared" si="5"/>
        <v>8469.9599999999991</v>
      </c>
      <c r="H18" s="35">
        <f t="shared" si="5"/>
        <v>10257.569999999996</v>
      </c>
      <c r="I18" s="35">
        <f t="shared" si="5"/>
        <v>11650.440000000002</v>
      </c>
      <c r="J18" s="35">
        <f t="shared" si="5"/>
        <v>13017.769999999995</v>
      </c>
      <c r="K18" s="35">
        <f t="shared" si="5"/>
        <v>15114.460000000003</v>
      </c>
      <c r="L18" s="35">
        <f t="shared" si="5"/>
        <v>17731.400000000001</v>
      </c>
      <c r="M18" s="35">
        <f t="shared" si="5"/>
        <v>17731.400000000001</v>
      </c>
    </row>
    <row r="19" spans="2:27" x14ac:dyDescent="0.3">
      <c r="B19" s="22" t="s">
        <v>85</v>
      </c>
      <c r="C19" s="22">
        <f t="shared" ref="C19:M19" si="6">C18/C6</f>
        <v>0.31990243976586547</v>
      </c>
      <c r="D19" s="22">
        <f t="shared" si="6"/>
        <v>0.21259097014435177</v>
      </c>
      <c r="E19" s="22">
        <f t="shared" si="6"/>
        <v>0.21939722513418644</v>
      </c>
      <c r="F19" s="22">
        <f t="shared" si="6"/>
        <v>0.21264834411876668</v>
      </c>
      <c r="G19" s="22">
        <f t="shared" si="6"/>
        <v>0.25284866562740499</v>
      </c>
      <c r="H19" s="22">
        <f t="shared" si="6"/>
        <v>0.26536555003053969</v>
      </c>
      <c r="I19" s="22">
        <f t="shared" si="6"/>
        <v>0.26547247302536958</v>
      </c>
      <c r="J19" s="22">
        <f t="shared" si="6"/>
        <v>0.26842506265870869</v>
      </c>
      <c r="K19" s="22">
        <f t="shared" si="6"/>
        <v>0.28746497613850852</v>
      </c>
      <c r="L19" s="22">
        <f t="shared" si="6"/>
        <v>0.30329766118322249</v>
      </c>
      <c r="M19" s="22">
        <f t="shared" si="6"/>
        <v>0.30329766118322249</v>
      </c>
    </row>
    <row r="20" spans="2:27" x14ac:dyDescent="0.3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2:27" x14ac:dyDescent="0.3">
      <c r="B21" t="s">
        <v>208</v>
      </c>
      <c r="C21">
        <f>IFERROR('Data Sheet'!B25,0)</f>
        <v>610.4</v>
      </c>
      <c r="D21">
        <f>IFERROR('Data Sheet'!C25,0)</f>
        <v>-135.03</v>
      </c>
      <c r="E21">
        <f>IFERROR('Data Sheet'!D25,0)</f>
        <v>-258.27999999999997</v>
      </c>
      <c r="F21">
        <f>IFERROR('Data Sheet'!E25,0)</f>
        <v>382.26</v>
      </c>
      <c r="G21">
        <f>IFERROR('Data Sheet'!F25,0)</f>
        <v>-3449.21</v>
      </c>
      <c r="H21">
        <f>IFERROR('Data Sheet'!G25,0)</f>
        <v>-3505.16</v>
      </c>
      <c r="I21">
        <f>IFERROR('Data Sheet'!H25,0)</f>
        <v>459.42</v>
      </c>
      <c r="J21">
        <f>IFERROR('Data Sheet'!I25,0)</f>
        <v>865.23</v>
      </c>
      <c r="K21">
        <f>IFERROR('Data Sheet'!J25,0)</f>
        <v>1444.42</v>
      </c>
      <c r="L21">
        <f>IFERROR('Data Sheet'!K25,0)</f>
        <v>664.24</v>
      </c>
      <c r="M21">
        <f>IFERROR('Data Sheet'!L25,0)</f>
        <v>0</v>
      </c>
    </row>
    <row r="23" spans="2:27" x14ac:dyDescent="0.3">
      <c r="B23" t="s">
        <v>11</v>
      </c>
      <c r="C23" s="25">
        <f>IFERROR('Data Sheet'!B27,0)</f>
        <v>399.8</v>
      </c>
      <c r="D23" s="25">
        <f>IFERROR('Data Sheet'!C27,0)</f>
        <v>517.57000000000005</v>
      </c>
      <c r="E23" s="25">
        <f>IFERROR('Data Sheet'!D27,0)</f>
        <v>555.25</v>
      </c>
      <c r="F23" s="25">
        <f>IFERROR('Data Sheet'!E27,0)</f>
        <v>302.73</v>
      </c>
      <c r="G23" s="25">
        <f>IFERROR('Data Sheet'!F27,0)</f>
        <v>141.43</v>
      </c>
      <c r="H23" s="25">
        <f>IFERROR('Data Sheet'!G27,0)</f>
        <v>127.35</v>
      </c>
      <c r="I23" s="25">
        <f>IFERROR('Data Sheet'!H27,0)</f>
        <v>172</v>
      </c>
      <c r="J23" s="25">
        <f>IFERROR('Data Sheet'!I27,0)</f>
        <v>238.47</v>
      </c>
      <c r="K23" s="25">
        <f>IFERROR('Data Sheet'!J27,0)</f>
        <v>231.36</v>
      </c>
      <c r="L23" s="25">
        <f>IFERROR('Data Sheet'!K27,0)</f>
        <v>338.91</v>
      </c>
      <c r="M23" s="25">
        <f>IFERROR(SUM('Data Sheet'!H46:K46),0)</f>
        <v>338.90999999999997</v>
      </c>
    </row>
    <row r="24" spans="2:27" x14ac:dyDescent="0.3">
      <c r="B24" s="22" t="s">
        <v>86</v>
      </c>
      <c r="C24" s="22">
        <f t="shared" ref="C24:M24" si="7">C23/C6</f>
        <v>1.2660536745957053E-2</v>
      </c>
      <c r="D24" s="22">
        <f t="shared" si="7"/>
        <v>1.9538714643484618E-2</v>
      </c>
      <c r="E24" s="22">
        <f t="shared" si="7"/>
        <v>1.9103134909589963E-2</v>
      </c>
      <c r="F24" s="22">
        <f t="shared" si="7"/>
        <v>9.2190331176246667E-3</v>
      </c>
      <c r="G24" s="22">
        <f t="shared" si="7"/>
        <v>4.2220254617122031E-3</v>
      </c>
      <c r="H24" s="22">
        <f t="shared" si="7"/>
        <v>3.2945719889203042E-3</v>
      </c>
      <c r="I24" s="22">
        <f t="shared" si="7"/>
        <v>3.9192738952660636E-3</v>
      </c>
      <c r="J24" s="22">
        <f t="shared" si="7"/>
        <v>4.9172265827574372E-3</v>
      </c>
      <c r="K24" s="22">
        <f t="shared" si="7"/>
        <v>4.4002827014266686E-3</v>
      </c>
      <c r="L24" s="22">
        <f t="shared" si="7"/>
        <v>5.7970950038691779E-3</v>
      </c>
      <c r="M24" s="22">
        <f t="shared" si="7"/>
        <v>5.7970950038691771E-3</v>
      </c>
    </row>
    <row r="25" spans="2:27" x14ac:dyDescent="0.3">
      <c r="P25" t="s">
        <v>9</v>
      </c>
      <c r="Q25" s="25">
        <f>IFERROR('Data Sheet'!B25,0)</f>
        <v>610.4</v>
      </c>
      <c r="R25" s="25">
        <f>IFERROR('Data Sheet'!C25,0)</f>
        <v>-135.03</v>
      </c>
      <c r="S25" s="25">
        <f>IFERROR('Data Sheet'!D25,0)</f>
        <v>-258.27999999999997</v>
      </c>
      <c r="T25" s="25">
        <f>IFERROR('Data Sheet'!E25,0)</f>
        <v>382.26</v>
      </c>
      <c r="U25" s="25">
        <f>IFERROR('Data Sheet'!F25,0)</f>
        <v>-3449.21</v>
      </c>
      <c r="V25" s="25">
        <f>IFERROR('Data Sheet'!G25,0)</f>
        <v>-3505.16</v>
      </c>
      <c r="W25" s="25">
        <f>IFERROR('Data Sheet'!H25,0)</f>
        <v>459.42</v>
      </c>
      <c r="X25" s="25">
        <f>IFERROR('Data Sheet'!I25,0)</f>
        <v>865.23</v>
      </c>
      <c r="Y25" s="25">
        <f>IFERROR('Data Sheet'!J25,0)</f>
        <v>1444.42</v>
      </c>
      <c r="Z25" s="25">
        <f>IFERROR('Data Sheet'!K25,0)</f>
        <v>664.24</v>
      </c>
      <c r="AA25" s="25">
        <f>IFERROR(SUM('Data Sheet'!H44:K44),0)</f>
        <v>664.24</v>
      </c>
    </row>
    <row r="26" spans="2:27" x14ac:dyDescent="0.3">
      <c r="B26" t="s">
        <v>10</v>
      </c>
      <c r="C26" s="25">
        <f>IFERROR('Data Sheet'!B26,0)</f>
        <v>1264.75</v>
      </c>
      <c r="D26" s="25">
        <f>IFERROR('Data Sheet'!C26,0)</f>
        <v>1499.84</v>
      </c>
      <c r="E26" s="25">
        <f>IFERROR('Data Sheet'!D26,0)</f>
        <v>1753.25</v>
      </c>
      <c r="F26" s="25">
        <f>IFERROR('Data Sheet'!E26,0)</f>
        <v>2052.7800000000002</v>
      </c>
      <c r="G26" s="25">
        <f>IFERROR('Data Sheet'!F26,0)</f>
        <v>2079.9499999999998</v>
      </c>
      <c r="H26" s="25">
        <f>IFERROR('Data Sheet'!G26,0)</f>
        <v>2143.7399999999998</v>
      </c>
      <c r="I26" s="25">
        <f>IFERROR('Data Sheet'!H26,0)</f>
        <v>2529.4299999999998</v>
      </c>
      <c r="J26" s="25">
        <f>IFERROR('Data Sheet'!I26,0)</f>
        <v>2556.64</v>
      </c>
      <c r="K26" s="25">
        <f>IFERROR('Data Sheet'!J26,0)</f>
        <v>2575.39</v>
      </c>
      <c r="L26" s="25">
        <f>IFERROR('Data Sheet'!K26,0)</f>
        <v>2937.85</v>
      </c>
      <c r="M26" s="25">
        <v>0</v>
      </c>
    </row>
    <row r="27" spans="2:27" x14ac:dyDescent="0.3">
      <c r="B27" s="22" t="s">
        <v>87</v>
      </c>
      <c r="C27" s="22">
        <f t="shared" ref="C27:M27" si="8">C26/C6</f>
        <v>4.0051060153699802E-2</v>
      </c>
      <c r="D27" s="22">
        <f t="shared" si="8"/>
        <v>5.6620255754552942E-2</v>
      </c>
      <c r="E27" s="22">
        <f t="shared" si="8"/>
        <v>6.0319804196737693E-2</v>
      </c>
      <c r="F27" s="22">
        <f t="shared" si="8"/>
        <v>6.2513285116102019E-2</v>
      </c>
      <c r="G27" s="22">
        <f t="shared" si="8"/>
        <v>6.2091507170248854E-2</v>
      </c>
      <c r="H27" s="22">
        <f t="shared" si="8"/>
        <v>5.5459016533396244E-2</v>
      </c>
      <c r="I27" s="22">
        <f t="shared" si="8"/>
        <v>5.7636796330830464E-2</v>
      </c>
      <c r="J27" s="22">
        <f t="shared" si="8"/>
        <v>5.2717650734016741E-2</v>
      </c>
      <c r="K27" s="22">
        <f t="shared" si="8"/>
        <v>4.898186404921865E-2</v>
      </c>
      <c r="L27" s="22">
        <f t="shared" si="8"/>
        <v>5.0252266256873686E-2</v>
      </c>
      <c r="M27" s="22">
        <f t="shared" si="8"/>
        <v>0</v>
      </c>
    </row>
    <row r="28" spans="2:27" x14ac:dyDescent="0.3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2:27" x14ac:dyDescent="0.3">
      <c r="B29" s="146" t="s">
        <v>174</v>
      </c>
      <c r="C29" s="37">
        <f>C18-C26</f>
        <v>8837.2699999999968</v>
      </c>
      <c r="D29" s="37">
        <f t="shared" ref="D29:M29" si="9">D18-D26</f>
        <v>4131.58</v>
      </c>
      <c r="E29" s="37">
        <f t="shared" si="9"/>
        <v>4623.7300000000014</v>
      </c>
      <c r="F29" s="37">
        <f t="shared" si="9"/>
        <v>4930.0600000000013</v>
      </c>
      <c r="G29" s="37">
        <f t="shared" si="9"/>
        <v>6390.0099999999993</v>
      </c>
      <c r="H29" s="37">
        <f t="shared" si="9"/>
        <v>8113.8299999999963</v>
      </c>
      <c r="I29" s="37">
        <f t="shared" si="9"/>
        <v>9121.010000000002</v>
      </c>
      <c r="J29" s="37">
        <f t="shared" si="9"/>
        <v>10461.129999999996</v>
      </c>
      <c r="K29" s="37">
        <f t="shared" si="9"/>
        <v>12539.070000000003</v>
      </c>
      <c r="L29" s="37">
        <f t="shared" si="9"/>
        <v>14793.550000000001</v>
      </c>
      <c r="M29" s="37">
        <f t="shared" si="9"/>
        <v>17731.400000000001</v>
      </c>
    </row>
    <row r="30" spans="2:27" x14ac:dyDescent="0.3">
      <c r="B30" s="22" t="s">
        <v>175</v>
      </c>
      <c r="C30" s="22">
        <f>C29/C6</f>
        <v>0.27985137961216566</v>
      </c>
      <c r="D30" s="22">
        <f t="shared" ref="D30:M30" si="10">D29/D6</f>
        <v>0.15597071438979881</v>
      </c>
      <c r="E30" s="22">
        <f t="shared" si="10"/>
        <v>0.15907742093744875</v>
      </c>
      <c r="F30" s="22">
        <f t="shared" si="10"/>
        <v>0.15013505900266469</v>
      </c>
      <c r="G30" s="22">
        <f t="shared" si="10"/>
        <v>0.1907571584571561</v>
      </c>
      <c r="H30" s="22">
        <f t="shared" si="10"/>
        <v>0.20990653349714344</v>
      </c>
      <c r="I30" s="22">
        <f t="shared" si="10"/>
        <v>0.20783567669453912</v>
      </c>
      <c r="J30" s="22">
        <f t="shared" si="10"/>
        <v>0.21570741192469192</v>
      </c>
      <c r="K30" s="22">
        <f t="shared" si="10"/>
        <v>0.23848311208928988</v>
      </c>
      <c r="L30" s="22">
        <f t="shared" si="10"/>
        <v>0.25304539492634881</v>
      </c>
      <c r="M30" s="22">
        <f t="shared" si="10"/>
        <v>0.30329766118322249</v>
      </c>
    </row>
    <row r="31" spans="2:27" x14ac:dyDescent="0.3">
      <c r="B31" s="36"/>
    </row>
    <row r="32" spans="2:27" x14ac:dyDescent="0.3">
      <c r="B32" s="34" t="s">
        <v>89</v>
      </c>
      <c r="C32" s="35">
        <f>C18-C23-C26+C21</f>
        <v>9047.8699999999972</v>
      </c>
      <c r="D32" s="35">
        <f t="shared" ref="D32:M32" si="11">D18-D23-D26+D21</f>
        <v>3478.98</v>
      </c>
      <c r="E32" s="35">
        <f t="shared" si="11"/>
        <v>3810.2000000000016</v>
      </c>
      <c r="F32" s="35">
        <f t="shared" si="11"/>
        <v>5009.59</v>
      </c>
      <c r="G32" s="35">
        <f t="shared" si="11"/>
        <v>2799.369999999999</v>
      </c>
      <c r="H32" s="35">
        <f t="shared" si="11"/>
        <v>4481.3199999999961</v>
      </c>
      <c r="I32" s="35">
        <f t="shared" si="11"/>
        <v>9408.4300000000021</v>
      </c>
      <c r="J32" s="35">
        <f t="shared" si="11"/>
        <v>11087.889999999996</v>
      </c>
      <c r="K32" s="35">
        <f t="shared" si="11"/>
        <v>13752.130000000003</v>
      </c>
      <c r="L32" s="35">
        <f t="shared" si="11"/>
        <v>15118.880000000001</v>
      </c>
      <c r="M32" s="35">
        <f t="shared" si="11"/>
        <v>17392.490000000002</v>
      </c>
      <c r="N32" s="36"/>
    </row>
    <row r="33" spans="2:13" x14ac:dyDescent="0.3">
      <c r="B33" s="22" t="s">
        <v>90</v>
      </c>
      <c r="C33" s="22">
        <f t="shared" ref="C33:M33" si="12">C32/C6</f>
        <v>0.28652048676248726</v>
      </c>
      <c r="D33" s="22">
        <f t="shared" si="12"/>
        <v>0.131334500590046</v>
      </c>
      <c r="E33" s="22">
        <f t="shared" si="12"/>
        <v>0.13108827488972483</v>
      </c>
      <c r="F33" s="22">
        <f t="shared" si="12"/>
        <v>0.15255698515416827</v>
      </c>
      <c r="G33" s="22">
        <f t="shared" si="12"/>
        <v>8.3567923472765926E-2</v>
      </c>
      <c r="H33" s="22">
        <f t="shared" si="12"/>
        <v>0.11593271570779995</v>
      </c>
      <c r="I33" s="22">
        <f t="shared" si="12"/>
        <v>0.2143849656653378</v>
      </c>
      <c r="J33" s="22">
        <f t="shared" si="12"/>
        <v>0.22863113789864695</v>
      </c>
      <c r="K33" s="22">
        <f t="shared" si="12"/>
        <v>0.26155454593175459</v>
      </c>
      <c r="L33" s="22">
        <f t="shared" si="12"/>
        <v>0.25861020244931582</v>
      </c>
      <c r="M33" s="22">
        <f t="shared" si="12"/>
        <v>0.29750056617935333</v>
      </c>
    </row>
    <row r="35" spans="2:13" x14ac:dyDescent="0.3">
      <c r="B35" s="23" t="s">
        <v>13</v>
      </c>
      <c r="C35" s="25">
        <f>IFERROR('Data Sheet'!B29,0)</f>
        <v>1211.57</v>
      </c>
      <c r="D35" s="25">
        <f>IFERROR('Data Sheet'!C29,0)</f>
        <v>911.04</v>
      </c>
      <c r="E35" s="25">
        <f>IFERROR('Data Sheet'!D29,0)</f>
        <v>600.88</v>
      </c>
      <c r="F35" s="25">
        <f>IFERROR('Data Sheet'!E29,0)</f>
        <v>822.8</v>
      </c>
      <c r="G35" s="25">
        <f>IFERROR('Data Sheet'!F29,0)</f>
        <v>514.69000000000005</v>
      </c>
      <c r="H35" s="25">
        <f>IFERROR('Data Sheet'!G29,0)</f>
        <v>1075.5</v>
      </c>
      <c r="I35" s="25">
        <f>IFERROR('Data Sheet'!H29,0)</f>
        <v>847.59</v>
      </c>
      <c r="J35" s="25">
        <f>IFERROR('Data Sheet'!I29,0)</f>
        <v>1439.45</v>
      </c>
      <c r="K35" s="25">
        <f>IFERROR('Data Sheet'!J29,0)</f>
        <v>2772.03</v>
      </c>
      <c r="L35" s="25">
        <f>IFERROR('Data Sheet'!K29,0)</f>
        <v>3554.36</v>
      </c>
      <c r="M35" s="25">
        <f>IFERROR(SUM('Data Sheet'!H48:K48),0)</f>
        <v>3554.36</v>
      </c>
    </row>
    <row r="36" spans="2:13" x14ac:dyDescent="0.3">
      <c r="B36" s="22" t="s">
        <v>91</v>
      </c>
      <c r="C36" s="22">
        <f t="shared" ref="C36:M36" si="13">C35/C32</f>
        <v>0.13390665427332624</v>
      </c>
      <c r="D36" s="22">
        <f t="shared" si="13"/>
        <v>0.2618698584067744</v>
      </c>
      <c r="E36" s="22">
        <f t="shared" si="13"/>
        <v>0.15770300771613033</v>
      </c>
      <c r="F36" s="22">
        <f t="shared" si="13"/>
        <v>0.16424497813194291</v>
      </c>
      <c r="G36" s="22">
        <f t="shared" si="13"/>
        <v>0.18385922546858766</v>
      </c>
      <c r="H36" s="22">
        <f t="shared" si="13"/>
        <v>0.23999625110458547</v>
      </c>
      <c r="I36" s="22">
        <f t="shared" si="13"/>
        <v>9.0088356930965091E-2</v>
      </c>
      <c r="J36" s="22">
        <f t="shared" si="13"/>
        <v>0.12982181461035422</v>
      </c>
      <c r="K36" s="22">
        <f t="shared" si="13"/>
        <v>0.20157095664453431</v>
      </c>
      <c r="L36" s="22">
        <f t="shared" si="13"/>
        <v>0.23509413395701267</v>
      </c>
      <c r="M36" s="22">
        <f t="shared" si="13"/>
        <v>0.20436176763649136</v>
      </c>
    </row>
    <row r="38" spans="2:13" x14ac:dyDescent="0.3">
      <c r="B38" s="34" t="s">
        <v>92</v>
      </c>
      <c r="C38" s="35">
        <f>C32-C35</f>
        <v>7836.2999999999975</v>
      </c>
      <c r="D38" s="35">
        <f t="shared" ref="D38:M38" si="14">D32-D35</f>
        <v>2567.94</v>
      </c>
      <c r="E38" s="35">
        <f t="shared" si="14"/>
        <v>3209.3200000000015</v>
      </c>
      <c r="F38" s="35">
        <f t="shared" si="14"/>
        <v>4186.79</v>
      </c>
      <c r="G38" s="35">
        <f t="shared" si="14"/>
        <v>2284.6799999999989</v>
      </c>
      <c r="H38" s="35">
        <f t="shared" si="14"/>
        <v>3405.8199999999961</v>
      </c>
      <c r="I38" s="35">
        <f t="shared" si="14"/>
        <v>8560.840000000002</v>
      </c>
      <c r="J38" s="35">
        <f t="shared" si="14"/>
        <v>9648.4399999999951</v>
      </c>
      <c r="K38" s="35">
        <f t="shared" si="14"/>
        <v>10980.100000000002</v>
      </c>
      <c r="L38" s="35">
        <f t="shared" si="14"/>
        <v>11564.52</v>
      </c>
      <c r="M38" s="35">
        <f t="shared" si="14"/>
        <v>13838.130000000001</v>
      </c>
    </row>
    <row r="39" spans="2:13" x14ac:dyDescent="0.3">
      <c r="B39" s="22" t="s">
        <v>93</v>
      </c>
      <c r="C39" s="22">
        <f t="shared" ref="C39:M39" si="15">C38/C6</f>
        <v>0.24815348699935771</v>
      </c>
      <c r="D39" s="22">
        <f t="shared" si="15"/>
        <v>9.6941953516606227E-2</v>
      </c>
      <c r="E39" s="22">
        <f t="shared" si="15"/>
        <v>0.11041525966329634</v>
      </c>
      <c r="F39" s="22">
        <f t="shared" si="15"/>
        <v>0.12750026646364673</v>
      </c>
      <c r="G39" s="22">
        <f t="shared" si="15"/>
        <v>6.820318978904498E-2</v>
      </c>
      <c r="H39" s="22">
        <f t="shared" si="15"/>
        <v>8.8109298557554283E-2</v>
      </c>
      <c r="I39" s="22">
        <f t="shared" si="15"/>
        <v>0.19507137635784616</v>
      </c>
      <c r="J39" s="22">
        <f t="shared" si="15"/>
        <v>0.19894982870021446</v>
      </c>
      <c r="K39" s="22">
        <f t="shared" si="15"/>
        <v>0.20883274589356401</v>
      </c>
      <c r="L39" s="22">
        <f t="shared" si="15"/>
        <v>0.19781246087204621</v>
      </c>
      <c r="M39" s="22">
        <f t="shared" si="15"/>
        <v>0.23670282460208369</v>
      </c>
    </row>
    <row r="41" spans="2:13" x14ac:dyDescent="0.3">
      <c r="B41" t="s">
        <v>94</v>
      </c>
      <c r="C41" s="25">
        <f>IFERROR('Data Sheet'!B93,0)</f>
        <v>239.93</v>
      </c>
      <c r="D41" s="25">
        <f>IFERROR('Data Sheet'!C93,0)</f>
        <v>239.93</v>
      </c>
      <c r="E41" s="25">
        <f>IFERROR('Data Sheet'!D93,0)</f>
        <v>239.93</v>
      </c>
      <c r="F41" s="25">
        <f>IFERROR('Data Sheet'!E93,0)</f>
        <v>239.93</v>
      </c>
      <c r="G41" s="25">
        <f>IFERROR('Data Sheet'!F93,0)</f>
        <v>239.93</v>
      </c>
      <c r="H41" s="25">
        <f>IFERROR('Data Sheet'!G93,0)</f>
        <v>239.93</v>
      </c>
      <c r="I41" s="25">
        <f>IFERROR('Data Sheet'!H93,0)</f>
        <v>239.93</v>
      </c>
      <c r="J41" s="25">
        <f>IFERROR('Data Sheet'!I93,0)</f>
        <v>239.93</v>
      </c>
      <c r="K41" s="25">
        <f>IFERROR('Data Sheet'!J93,0)</f>
        <v>239.93</v>
      </c>
      <c r="L41" s="25">
        <f>IFERROR('Data Sheet'!K93,0)</f>
        <v>239.93</v>
      </c>
      <c r="M41" s="25">
        <f>IFERROR('Data Sheet'!K93,0)</f>
        <v>239.93</v>
      </c>
    </row>
    <row r="42" spans="2:13" x14ac:dyDescent="0.3"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0"/>
    </row>
    <row r="43" spans="2:13" x14ac:dyDescent="0.3">
      <c r="B43" t="s">
        <v>44</v>
      </c>
      <c r="C43" s="38">
        <f>IFERROR(C38/C41,0)</f>
        <v>32.660776059684061</v>
      </c>
      <c r="D43" s="38">
        <f t="shared" ref="D43:M43" si="16">IFERROR(D38/D41,0)</f>
        <v>10.702871670904013</v>
      </c>
      <c r="E43" s="38">
        <f t="shared" si="16"/>
        <v>13.376068019839126</v>
      </c>
      <c r="F43" s="38">
        <f t="shared" si="16"/>
        <v>17.450047930646438</v>
      </c>
      <c r="G43" s="38">
        <f t="shared" si="16"/>
        <v>9.522277330888171</v>
      </c>
      <c r="H43" s="38">
        <f t="shared" si="16"/>
        <v>14.195056891593365</v>
      </c>
      <c r="I43" s="38">
        <f t="shared" si="16"/>
        <v>35.680573500604353</v>
      </c>
      <c r="J43" s="38">
        <f t="shared" si="16"/>
        <v>40.21356228900094</v>
      </c>
      <c r="K43" s="38">
        <f t="shared" si="16"/>
        <v>45.763764431292465</v>
      </c>
      <c r="L43" s="38">
        <f t="shared" si="16"/>
        <v>48.199558204476304</v>
      </c>
      <c r="M43" s="38">
        <f t="shared" si="16"/>
        <v>57.675697078314514</v>
      </c>
    </row>
    <row r="44" spans="2:13" x14ac:dyDescent="0.3">
      <c r="B44" s="22" t="s">
        <v>96</v>
      </c>
      <c r="C44" s="22"/>
      <c r="D44" s="22">
        <f>IFERROR(D43/C43-1,0)</f>
        <v>-0.67230197925041146</v>
      </c>
      <c r="E44" s="22">
        <f t="shared" ref="E44:M44" si="17">IFERROR(E43/D43-1,0)</f>
        <v>0.24976440259507693</v>
      </c>
      <c r="F44" s="22">
        <f t="shared" si="17"/>
        <v>0.30457230815250513</v>
      </c>
      <c r="G44" s="22">
        <f t="shared" si="17"/>
        <v>-0.45431225354030202</v>
      </c>
      <c r="H44" s="22">
        <f t="shared" si="17"/>
        <v>0.49072080116252503</v>
      </c>
      <c r="I44" s="22">
        <f t="shared" si="17"/>
        <v>1.5135914405341482</v>
      </c>
      <c r="J44" s="22">
        <f t="shared" si="17"/>
        <v>0.12704360787025482</v>
      </c>
      <c r="K44" s="22">
        <f t="shared" si="17"/>
        <v>0.13801816666735833</v>
      </c>
      <c r="L44" s="22">
        <f t="shared" si="17"/>
        <v>5.3225380461015659E-2</v>
      </c>
      <c r="M44" s="22">
        <f t="shared" si="17"/>
        <v>0.19660219360596054</v>
      </c>
    </row>
    <row r="45" spans="2:13" x14ac:dyDescent="0.3">
      <c r="M45" s="20"/>
    </row>
    <row r="46" spans="2:13" x14ac:dyDescent="0.3">
      <c r="B46" t="s">
        <v>95</v>
      </c>
      <c r="C46" s="25">
        <f>-IFERROR('Data Sheet'!B31/C41,0)</f>
        <v>-3.5000208394114947</v>
      </c>
      <c r="D46" s="25">
        <f>-IFERROR('Data Sheet'!C31/D41,0)</f>
        <v>-2</v>
      </c>
      <c r="E46" s="25">
        <f>-IFERROR('Data Sheet'!D31/E41,0)</f>
        <v>-2.7500104197057471</v>
      </c>
      <c r="F46" s="25">
        <f>-IFERROR('Data Sheet'!E31/F41,0)</f>
        <v>-4</v>
      </c>
      <c r="G46" s="25">
        <f>-IFERROR('Data Sheet'!F31/G41,0)</f>
        <v>-7.5000208394114951</v>
      </c>
      <c r="H46" s="25">
        <f>-IFERROR('Data Sheet'!G31/H41,0)</f>
        <v>-10</v>
      </c>
      <c r="I46" s="25">
        <f>-IFERROR('Data Sheet'!H31/I41,0)</f>
        <v>-11.500020839411494</v>
      </c>
      <c r="J46" s="25">
        <f>-IFERROR('Data Sheet'!I31/J41,0)</f>
        <v>-13.500020839411494</v>
      </c>
      <c r="K46" s="25">
        <f>-IFERROR('Data Sheet'!J31/K41,0)</f>
        <v>-16</v>
      </c>
      <c r="L46" s="25">
        <f>-IFERROR('Data Sheet'!K31/L41,0)</f>
        <v>-16</v>
      </c>
      <c r="M46" s="25">
        <f>-IFERROR('Data Sheet'!L31/M41,0)</f>
        <v>0</v>
      </c>
    </row>
    <row r="47" spans="2:13" x14ac:dyDescent="0.3">
      <c r="B47" s="22" t="s">
        <v>97</v>
      </c>
      <c r="C47" s="22">
        <f>IFERROR(C46/C43,0)</f>
        <v>-0.10716281918762685</v>
      </c>
      <c r="D47" s="22">
        <f t="shared" ref="D47:M47" si="18">IFERROR(D46/D43,0)</f>
        <v>-0.18686573673839732</v>
      </c>
      <c r="E47" s="22">
        <f t="shared" si="18"/>
        <v>-0.20559183876958345</v>
      </c>
      <c r="F47" s="22">
        <f t="shared" si="18"/>
        <v>-0.22922573140759389</v>
      </c>
      <c r="G47" s="22">
        <f t="shared" si="18"/>
        <v>-0.78762890207819081</v>
      </c>
      <c r="H47" s="22">
        <f t="shared" si="18"/>
        <v>-0.70447058270842344</v>
      </c>
      <c r="I47" s="22">
        <f>IFERROR(I46/I43,0)</f>
        <v>-0.32230482055499216</v>
      </c>
      <c r="J47" s="22">
        <f t="shared" si="18"/>
        <v>-0.33570815592987069</v>
      </c>
      <c r="K47" s="22">
        <f t="shared" si="18"/>
        <v>-0.34962158814582739</v>
      </c>
      <c r="L47" s="22">
        <f t="shared" si="18"/>
        <v>-0.33195325011327753</v>
      </c>
      <c r="M47" s="22">
        <f t="shared" si="18"/>
        <v>0</v>
      </c>
    </row>
    <row r="49" spans="1:13" x14ac:dyDescent="0.3">
      <c r="B49" t="s">
        <v>98</v>
      </c>
      <c r="C49" s="27">
        <f>IFERROR(IF(C43&gt;C46,1-C47,0),0)</f>
        <v>1.1071628191876268</v>
      </c>
      <c r="D49" s="39">
        <f t="shared" ref="D49:M49" si="19">IFERROR(IF(D43&gt;D46,1-D47,0),0)</f>
        <v>1.1868657367383972</v>
      </c>
      <c r="E49" s="39">
        <f t="shared" si="19"/>
        <v>1.2055918387695834</v>
      </c>
      <c r="F49" s="39">
        <f t="shared" si="19"/>
        <v>1.2292257314075938</v>
      </c>
      <c r="G49" s="39">
        <f t="shared" si="19"/>
        <v>1.7876289020781908</v>
      </c>
      <c r="H49" s="39">
        <f t="shared" si="19"/>
        <v>1.7044705827084234</v>
      </c>
      <c r="I49" s="39">
        <f t="shared" si="19"/>
        <v>1.3223048205549921</v>
      </c>
      <c r="J49" s="39">
        <f t="shared" si="19"/>
        <v>1.3357081559298707</v>
      </c>
      <c r="K49" s="39">
        <f t="shared" si="19"/>
        <v>1.3496215881458273</v>
      </c>
      <c r="L49" s="39">
        <f t="shared" si="19"/>
        <v>1.3319532501132776</v>
      </c>
      <c r="M49" s="39">
        <f t="shared" si="19"/>
        <v>1</v>
      </c>
    </row>
    <row r="51" spans="1:13" x14ac:dyDescent="0.3">
      <c r="A51" t="s">
        <v>78</v>
      </c>
      <c r="B51" s="24" t="s">
        <v>99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3" spans="1:13" x14ac:dyDescent="0.3">
      <c r="B53" t="s">
        <v>24</v>
      </c>
      <c r="C53" s="25">
        <f>IFERROR('Data Sheet'!B57,0)</f>
        <v>239.93</v>
      </c>
      <c r="D53" s="25">
        <f>IFERROR('Data Sheet'!C57,0)</f>
        <v>239.93</v>
      </c>
      <c r="E53" s="25">
        <f>IFERROR('Data Sheet'!D57,0)</f>
        <v>239.93</v>
      </c>
      <c r="F53" s="25">
        <f>IFERROR('Data Sheet'!E57,0)</f>
        <v>239.93</v>
      </c>
      <c r="G53" s="25">
        <f>IFERROR('Data Sheet'!F57,0)</f>
        <v>239.93</v>
      </c>
      <c r="H53" s="25">
        <f>IFERROR('Data Sheet'!G57,0)</f>
        <v>239.93</v>
      </c>
      <c r="I53" s="25">
        <f>IFERROR('Data Sheet'!H57,0)</f>
        <v>239.93</v>
      </c>
      <c r="J53" s="25">
        <f>IFERROR('Data Sheet'!I57,0)</f>
        <v>239.93</v>
      </c>
      <c r="K53" s="25">
        <f>IFERROR('Data Sheet'!J57,0)</f>
        <v>239.93</v>
      </c>
      <c r="L53" s="25">
        <f>IFERROR('Data Sheet'!K57,0)</f>
        <v>239.93</v>
      </c>
    </row>
    <row r="54" spans="1:13" x14ac:dyDescent="0.3">
      <c r="B54" t="s">
        <v>25</v>
      </c>
      <c r="C54" s="25">
        <f>IFERROR('Data Sheet'!B58,0)</f>
        <v>36399.74</v>
      </c>
      <c r="D54" s="25">
        <f>IFERROR('Data Sheet'!C58,0)</f>
        <v>38074.18</v>
      </c>
      <c r="E54" s="25">
        <f>IFERROR('Data Sheet'!D58,0)</f>
        <v>41169.129999999997</v>
      </c>
      <c r="F54" s="25">
        <f>IFERROR('Data Sheet'!E58,0)</f>
        <v>45024.52</v>
      </c>
      <c r="G54" s="25">
        <f>IFERROR('Data Sheet'!F58,0)</f>
        <v>46222.85</v>
      </c>
      <c r="H54" s="25">
        <f>IFERROR('Data Sheet'!G58,0)</f>
        <v>47771.29</v>
      </c>
      <c r="I54" s="25">
        <f>IFERROR('Data Sheet'!H58,0)</f>
        <v>55755.45</v>
      </c>
      <c r="J54" s="25">
        <f>IFERROR('Data Sheet'!I58,0)</f>
        <v>63426.82</v>
      </c>
      <c r="K54" s="25">
        <f>IFERROR('Data Sheet'!J58,0)</f>
        <v>71978.09</v>
      </c>
      <c r="L54" s="25">
        <f>IFERROR('Data Sheet'!K58,0)</f>
        <v>83330.16</v>
      </c>
    </row>
    <row r="55" spans="1:13" x14ac:dyDescent="0.3">
      <c r="B55" t="s">
        <v>56</v>
      </c>
      <c r="C55" s="25">
        <f>IFERROR('Data Sheet'!B59,0)</f>
        <v>9831.77</v>
      </c>
      <c r="D55" s="25">
        <f>IFERROR('Data Sheet'!C59,0)</f>
        <v>10385.27</v>
      </c>
      <c r="E55" s="25">
        <f>IFERROR('Data Sheet'!D59,0)</f>
        <v>10514.36</v>
      </c>
      <c r="F55" s="25">
        <f>IFERROR('Data Sheet'!E59,0)</f>
        <v>8314.8799999999992</v>
      </c>
      <c r="G55" s="25">
        <f>IFERROR('Data Sheet'!F59,0)</f>
        <v>3868.58</v>
      </c>
      <c r="H55" s="25">
        <f>IFERROR('Data Sheet'!G59,0)</f>
        <v>1290.3</v>
      </c>
      <c r="I55" s="25">
        <f>IFERROR('Data Sheet'!H59,0)</f>
        <v>6885.87</v>
      </c>
      <c r="J55" s="25">
        <f>IFERROR('Data Sheet'!I59,0)</f>
        <v>3273.67</v>
      </c>
      <c r="K55" s="25">
        <f>IFERROR('Data Sheet'!J59,0)</f>
        <v>2362.19</v>
      </c>
      <c r="L55" s="25">
        <f>IFERROR('Data Sheet'!K59,0)</f>
        <v>4627.32</v>
      </c>
    </row>
    <row r="56" spans="1:13" x14ac:dyDescent="0.3">
      <c r="B56" t="s">
        <v>57</v>
      </c>
      <c r="C56" s="25">
        <f>IFERROR('Data Sheet'!B60,0)</f>
        <v>14624.01</v>
      </c>
      <c r="D56" s="25">
        <f>IFERROR('Data Sheet'!C60,0)</f>
        <v>15598.01</v>
      </c>
      <c r="E56" s="25">
        <f>IFERROR('Data Sheet'!D60,0)</f>
        <v>12666.11</v>
      </c>
      <c r="F56" s="25">
        <f>IFERROR('Data Sheet'!E60,0)</f>
        <v>14614.99</v>
      </c>
      <c r="G56" s="25">
        <f>IFERROR('Data Sheet'!F60,0)</f>
        <v>17290.86</v>
      </c>
      <c r="H56" s="25">
        <f>IFERROR('Data Sheet'!G60,0)</f>
        <v>20474.39</v>
      </c>
      <c r="I56" s="25">
        <f>IFERROR('Data Sheet'!H60,0)</f>
        <v>17830.650000000001</v>
      </c>
      <c r="J56" s="25">
        <f>IFERROR('Data Sheet'!I60,0)</f>
        <v>18387.37</v>
      </c>
      <c r="K56" s="25">
        <f>IFERROR('Data Sheet'!J60,0)</f>
        <v>17327.93</v>
      </c>
      <c r="L56" s="25">
        <f>IFERROR('Data Sheet'!K60,0)</f>
        <v>20587.810000000001</v>
      </c>
    </row>
    <row r="57" spans="1:13" x14ac:dyDescent="0.3">
      <c r="B57" s="34" t="s">
        <v>100</v>
      </c>
      <c r="C57" s="35">
        <f>IFERROR('Data Sheet'!B61,0)</f>
        <v>61095.45</v>
      </c>
      <c r="D57" s="35">
        <f>IFERROR('Data Sheet'!C61,0)</f>
        <v>64297.39</v>
      </c>
      <c r="E57" s="35">
        <f>IFERROR('Data Sheet'!D61,0)</f>
        <v>64589.53</v>
      </c>
      <c r="F57" s="35">
        <f>IFERROR('Data Sheet'!E61,0)</f>
        <v>68194.320000000007</v>
      </c>
      <c r="G57" s="35">
        <f>IFERROR('Data Sheet'!F61,0)</f>
        <v>67622.22</v>
      </c>
      <c r="H57" s="35">
        <f>IFERROR('Data Sheet'!G61,0)</f>
        <v>69775.91</v>
      </c>
      <c r="I57" s="35">
        <f>IFERROR('Data Sheet'!H61,0)</f>
        <v>80711.899999999994</v>
      </c>
      <c r="J57" s="35">
        <f>IFERROR('Data Sheet'!I61,0)</f>
        <v>85327.79</v>
      </c>
      <c r="K57" s="35">
        <f>IFERROR('Data Sheet'!J61,0)</f>
        <v>91908.14</v>
      </c>
      <c r="L57" s="35">
        <f>IFERROR('Data Sheet'!K61,0)</f>
        <v>108785.22</v>
      </c>
    </row>
    <row r="59" spans="1:13" x14ac:dyDescent="0.3">
      <c r="B59" t="s">
        <v>101</v>
      </c>
      <c r="C59" s="25">
        <f>IFERROR('Data Sheet'!B62,0)</f>
        <v>17675.169999999998</v>
      </c>
      <c r="D59" s="25">
        <f>IFERROR('Data Sheet'!C62,0)</f>
        <v>18852.650000000001</v>
      </c>
      <c r="E59" s="25">
        <f>IFERROR('Data Sheet'!D62,0)</f>
        <v>21836.54</v>
      </c>
      <c r="F59" s="25">
        <f>IFERROR('Data Sheet'!E62,0)</f>
        <v>22846.91</v>
      </c>
      <c r="G59" s="25">
        <f>IFERROR('Data Sheet'!F62,0)</f>
        <v>21552.98</v>
      </c>
      <c r="H59" s="25">
        <f>IFERROR('Data Sheet'!G62,0)</f>
        <v>22665.16</v>
      </c>
      <c r="I59" s="25">
        <f>IFERROR('Data Sheet'!H62,0)</f>
        <v>24065.439999999999</v>
      </c>
      <c r="J59" s="25">
        <f>IFERROR('Data Sheet'!I62,0)</f>
        <v>23248.15</v>
      </c>
      <c r="K59" s="25">
        <f>IFERROR('Data Sheet'!J62,0)</f>
        <v>22586.28</v>
      </c>
      <c r="L59" s="25">
        <f>IFERROR('Data Sheet'!K62,0)</f>
        <v>34493.35</v>
      </c>
    </row>
    <row r="60" spans="1:13" x14ac:dyDescent="0.3">
      <c r="B60" t="s">
        <v>28</v>
      </c>
      <c r="C60" s="25">
        <f>IFERROR('Data Sheet'!B63,0)</f>
        <v>2801.38</v>
      </c>
      <c r="D60" s="25">
        <f>IFERROR('Data Sheet'!C63,0)</f>
        <v>2465.16</v>
      </c>
      <c r="E60" s="25">
        <f>IFERROR('Data Sheet'!D63,0)</f>
        <v>1411.15</v>
      </c>
      <c r="F60" s="25">
        <f>IFERROR('Data Sheet'!E63,0)</f>
        <v>1220.3399999999999</v>
      </c>
      <c r="G60" s="25">
        <f>IFERROR('Data Sheet'!F63,0)</f>
        <v>1566.83</v>
      </c>
      <c r="H60" s="25">
        <f>IFERROR('Data Sheet'!G63,0)</f>
        <v>1286.8</v>
      </c>
      <c r="I60" s="25">
        <f>IFERROR('Data Sheet'!H63,0)</f>
        <v>4973.16</v>
      </c>
      <c r="J60" s="25">
        <f>IFERROR('Data Sheet'!I63,0)</f>
        <v>5353.88</v>
      </c>
      <c r="K60" s="25">
        <f>IFERROR('Data Sheet'!J63,0)</f>
        <v>6643.96</v>
      </c>
      <c r="L60" s="25">
        <f>IFERROR('Data Sheet'!K63,0)</f>
        <v>1380.65</v>
      </c>
    </row>
    <row r="61" spans="1:13" x14ac:dyDescent="0.3">
      <c r="B61" t="s">
        <v>29</v>
      </c>
      <c r="C61" s="25">
        <f>IFERROR('Data Sheet'!B64,0)</f>
        <v>1191.8800000000001</v>
      </c>
      <c r="D61" s="25">
        <f>IFERROR('Data Sheet'!C64,0)</f>
        <v>7142.87</v>
      </c>
      <c r="E61" s="25">
        <f>IFERROR('Data Sheet'!D64,0)</f>
        <v>7902.53</v>
      </c>
      <c r="F61" s="25">
        <f>IFERROR('Data Sheet'!E64,0)</f>
        <v>10143.11</v>
      </c>
      <c r="G61" s="25">
        <f>IFERROR('Data Sheet'!F64,0)</f>
        <v>9612.4500000000007</v>
      </c>
      <c r="H61" s="25">
        <f>IFERROR('Data Sheet'!G64,0)</f>
        <v>12848.59</v>
      </c>
      <c r="I61" s="25">
        <f>IFERROR('Data Sheet'!H64,0)</f>
        <v>14824.34</v>
      </c>
      <c r="J61" s="25">
        <f>IFERROR('Data Sheet'!I64,0)</f>
        <v>15025.77</v>
      </c>
      <c r="K61" s="25">
        <f>IFERROR('Data Sheet'!J64,0)</f>
        <v>18353.8</v>
      </c>
      <c r="L61" s="25">
        <f>IFERROR('Data Sheet'!K64,0)</f>
        <v>24722.52</v>
      </c>
    </row>
    <row r="62" spans="1:13" x14ac:dyDescent="0.3">
      <c r="B62" t="s">
        <v>58</v>
      </c>
      <c r="C62" s="25">
        <f>IFERROR('Data Sheet'!B65-SUM('Data Sheet'!B67:B69),0)</f>
        <v>10250.759999999995</v>
      </c>
      <c r="D62" s="25">
        <f>IFERROR('Data Sheet'!C65-SUM('Data Sheet'!C67:C69),0)</f>
        <v>11211.36</v>
      </c>
      <c r="E62" s="25">
        <f>IFERROR('Data Sheet'!D65-SUM('Data Sheet'!D67:D69),0)</f>
        <v>9393.5299999999988</v>
      </c>
      <c r="F62" s="25">
        <f>IFERROR('Data Sheet'!E65-SUM('Data Sheet'!E67:E69),0)</f>
        <v>10200.18</v>
      </c>
      <c r="G62" s="25">
        <f>IFERROR('Data Sheet'!F65-SUM('Data Sheet'!F67:F69),0)</f>
        <v>10386.029999999999</v>
      </c>
      <c r="H62" s="25">
        <f>IFERROR('Data Sheet'!G65-SUM('Data Sheet'!G67:G69),0)</f>
        <v>8532.2900000000009</v>
      </c>
      <c r="I62" s="25">
        <f>IFERROR('Data Sheet'!H65-SUM('Data Sheet'!H67:H69),0)</f>
        <v>9127.11</v>
      </c>
      <c r="J62" s="25">
        <f>IFERROR('Data Sheet'!I65-SUM('Data Sheet'!I67:I69),0)</f>
        <v>10061.649999999994</v>
      </c>
      <c r="K62" s="25">
        <f>IFERROR('Data Sheet'!J65-SUM('Data Sheet'!J67:J69),0)</f>
        <v>9703.0399999999936</v>
      </c>
      <c r="L62" s="25">
        <f>IFERROR('Data Sheet'!K65-SUM('Data Sheet'!K67:K69),0)</f>
        <v>9583.0199999999968</v>
      </c>
    </row>
    <row r="63" spans="1:13" x14ac:dyDescent="0.3">
      <c r="B63" s="34" t="s">
        <v>103</v>
      </c>
      <c r="C63" s="35">
        <f>SUM(C59:C62)</f>
        <v>31919.189999999995</v>
      </c>
      <c r="D63" s="35">
        <f t="shared" ref="D63:L63" si="20">SUM(D59:D62)</f>
        <v>39672.04</v>
      </c>
      <c r="E63" s="35">
        <f t="shared" si="20"/>
        <v>40543.75</v>
      </c>
      <c r="F63" s="35">
        <f t="shared" si="20"/>
        <v>44410.54</v>
      </c>
      <c r="G63" s="35">
        <f t="shared" si="20"/>
        <v>43118.289999999994</v>
      </c>
      <c r="H63" s="35">
        <f t="shared" si="20"/>
        <v>45332.840000000004</v>
      </c>
      <c r="I63" s="35">
        <f t="shared" si="20"/>
        <v>52990.05</v>
      </c>
      <c r="J63" s="35">
        <f t="shared" si="20"/>
        <v>53689.45</v>
      </c>
      <c r="K63" s="35">
        <f t="shared" si="20"/>
        <v>57287.079999999987</v>
      </c>
      <c r="L63" s="35">
        <f t="shared" si="20"/>
        <v>70179.540000000008</v>
      </c>
    </row>
    <row r="65" spans="1:13" x14ac:dyDescent="0.3">
      <c r="B65" t="s">
        <v>207</v>
      </c>
      <c r="C65" s="25">
        <f>IFERROR('Data Sheet'!B67,0)</f>
        <v>7202.61</v>
      </c>
      <c r="D65" s="25">
        <f>IFERROR('Data Sheet'!C67,0)</f>
        <v>7815.28</v>
      </c>
      <c r="E65" s="25">
        <f>IFERROR('Data Sheet'!D67,0)</f>
        <v>8884.2000000000007</v>
      </c>
      <c r="F65" s="25">
        <f>IFERROR('Data Sheet'!E67,0)</f>
        <v>9421.24</v>
      </c>
      <c r="G65" s="25">
        <f>IFERROR('Data Sheet'!F67,0)</f>
        <v>9061.4</v>
      </c>
      <c r="H65" s="25">
        <f>IFERROR('Data Sheet'!G67,0)</f>
        <v>10484.59</v>
      </c>
      <c r="I65" s="25">
        <f>IFERROR('Data Sheet'!H67,0)</f>
        <v>11438.51</v>
      </c>
      <c r="J65" s="25">
        <f>IFERROR('Data Sheet'!I67,0)</f>
        <v>11249.37</v>
      </c>
      <c r="K65" s="25">
        <f>IFERROR('Data Sheet'!J67,0)</f>
        <v>13046.11</v>
      </c>
      <c r="L65" s="25">
        <f>IFERROR('Data Sheet'!K67,0)</f>
        <v>15509.67</v>
      </c>
    </row>
    <row r="66" spans="1:13" x14ac:dyDescent="0.3">
      <c r="B66" t="s">
        <v>43</v>
      </c>
      <c r="C66" s="25">
        <f>IFERROR('Data Sheet'!B68,0)</f>
        <v>6832.81</v>
      </c>
      <c r="D66" s="25">
        <f>IFERROR('Data Sheet'!C68,0)</f>
        <v>6880.69</v>
      </c>
      <c r="E66" s="25">
        <f>IFERROR('Data Sheet'!D68,0)</f>
        <v>7885.98</v>
      </c>
      <c r="F66" s="25">
        <f>IFERROR('Data Sheet'!E68,0)</f>
        <v>7874.99</v>
      </c>
      <c r="G66" s="25">
        <f>IFERROR('Data Sheet'!F68,0)</f>
        <v>8997.02</v>
      </c>
      <c r="H66" s="25">
        <f>IFERROR('Data Sheet'!G68,0)</f>
        <v>8925.1299999999992</v>
      </c>
      <c r="I66" s="25">
        <f>IFERROR('Data Sheet'!H68,0)</f>
        <v>10513.05</v>
      </c>
      <c r="J66" s="25">
        <f>IFERROR('Data Sheet'!I68,0)</f>
        <v>9868.2900000000009</v>
      </c>
      <c r="K66" s="25">
        <f>IFERROR('Data Sheet'!J68,0)</f>
        <v>10243.33</v>
      </c>
      <c r="L66" s="25">
        <f>IFERROR('Data Sheet'!K68,0)</f>
        <v>11492.93</v>
      </c>
    </row>
    <row r="67" spans="1:13" x14ac:dyDescent="0.3">
      <c r="B67" t="s">
        <v>72</v>
      </c>
      <c r="C67" s="25">
        <f>IFERROR('Data Sheet'!B69,0)</f>
        <v>15140.84</v>
      </c>
      <c r="D67" s="25">
        <f>IFERROR('Data Sheet'!C69,0)</f>
        <v>9929.3799999999992</v>
      </c>
      <c r="E67" s="25">
        <f>IFERROR('Data Sheet'!D69,0)</f>
        <v>7275.6</v>
      </c>
      <c r="F67" s="25">
        <f>IFERROR('Data Sheet'!E69,0)</f>
        <v>6487.55</v>
      </c>
      <c r="G67" s="25">
        <f>IFERROR('Data Sheet'!F69,0)</f>
        <v>6445.51</v>
      </c>
      <c r="H67" s="25">
        <f>IFERROR('Data Sheet'!G69,0)</f>
        <v>5033.3500000000004</v>
      </c>
      <c r="I67" s="25">
        <f>IFERROR('Data Sheet'!H69,0)</f>
        <v>5770.29</v>
      </c>
      <c r="J67" s="25">
        <f>IFERROR('Data Sheet'!I69,0)</f>
        <v>10520.68</v>
      </c>
      <c r="K67" s="25">
        <f>IFERROR('Data Sheet'!J69,0)</f>
        <v>11331.62</v>
      </c>
      <c r="L67" s="25">
        <f>IFERROR('Data Sheet'!K69,0)</f>
        <v>11603.08</v>
      </c>
    </row>
    <row r="68" spans="1:13" x14ac:dyDescent="0.3">
      <c r="B68" t="s">
        <v>104</v>
      </c>
      <c r="C68" s="28">
        <f>IFERROR(SUM(C65:C67),0)</f>
        <v>29176.260000000002</v>
      </c>
      <c r="D68" s="28">
        <f t="shared" ref="D68:L68" si="21">IFERROR(SUM(D65:D67),0)</f>
        <v>24625.35</v>
      </c>
      <c r="E68" s="28">
        <f t="shared" si="21"/>
        <v>24045.78</v>
      </c>
      <c r="F68" s="28">
        <f t="shared" si="21"/>
        <v>23783.78</v>
      </c>
      <c r="G68" s="28">
        <f t="shared" si="21"/>
        <v>24503.93</v>
      </c>
      <c r="H68" s="28">
        <f t="shared" si="21"/>
        <v>24443.07</v>
      </c>
      <c r="I68" s="28">
        <f t="shared" si="21"/>
        <v>27721.85</v>
      </c>
      <c r="J68" s="28">
        <f t="shared" si="21"/>
        <v>31638.340000000004</v>
      </c>
      <c r="K68" s="28">
        <f t="shared" si="21"/>
        <v>34621.060000000005</v>
      </c>
      <c r="L68" s="28">
        <f t="shared" si="21"/>
        <v>38605.68</v>
      </c>
    </row>
    <row r="69" spans="1:13" x14ac:dyDescent="0.3"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3" x14ac:dyDescent="0.3">
      <c r="B70" s="34" t="s">
        <v>102</v>
      </c>
      <c r="C70" s="35">
        <f>IFERROR(C68+C63,0)</f>
        <v>61095.45</v>
      </c>
      <c r="D70" s="35">
        <f t="shared" ref="D70:L70" si="22">IFERROR(D68+D63,0)</f>
        <v>64297.39</v>
      </c>
      <c r="E70" s="35">
        <f t="shared" si="22"/>
        <v>64589.53</v>
      </c>
      <c r="F70" s="35">
        <f t="shared" si="22"/>
        <v>68194.320000000007</v>
      </c>
      <c r="G70" s="35">
        <f t="shared" si="22"/>
        <v>67622.22</v>
      </c>
      <c r="H70" s="35">
        <f t="shared" si="22"/>
        <v>69775.91</v>
      </c>
      <c r="I70" s="35">
        <f t="shared" si="22"/>
        <v>80711.899999999994</v>
      </c>
      <c r="J70" s="35">
        <f t="shared" si="22"/>
        <v>85327.790000000008</v>
      </c>
      <c r="K70" s="35">
        <f t="shared" si="22"/>
        <v>91908.139999999985</v>
      </c>
      <c r="L70" s="35">
        <f t="shared" si="22"/>
        <v>108785.22</v>
      </c>
    </row>
    <row r="72" spans="1:13" x14ac:dyDescent="0.3">
      <c r="B72" t="s">
        <v>105</v>
      </c>
      <c r="C72" t="b">
        <f>C70=C57</f>
        <v>1</v>
      </c>
      <c r="D72" t="b">
        <f t="shared" ref="D72:L72" si="23">D70=D57</f>
        <v>1</v>
      </c>
      <c r="E72" t="b">
        <f t="shared" si="23"/>
        <v>1</v>
      </c>
      <c r="F72" t="b">
        <f t="shared" si="23"/>
        <v>1</v>
      </c>
      <c r="G72" t="b">
        <f t="shared" si="23"/>
        <v>1</v>
      </c>
      <c r="H72" t="b">
        <f t="shared" si="23"/>
        <v>1</v>
      </c>
      <c r="I72" t="b">
        <f t="shared" si="23"/>
        <v>1</v>
      </c>
      <c r="J72" t="b">
        <f t="shared" si="23"/>
        <v>1</v>
      </c>
      <c r="K72" t="b">
        <f t="shared" si="23"/>
        <v>1</v>
      </c>
      <c r="L72" t="b">
        <f t="shared" si="23"/>
        <v>1</v>
      </c>
    </row>
    <row r="74" spans="1:13" x14ac:dyDescent="0.3">
      <c r="A74" s="32" t="s">
        <v>78</v>
      </c>
      <c r="B74" s="24" t="s">
        <v>136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 x14ac:dyDescent="0.3">
      <c r="B75" s="2" t="s">
        <v>138</v>
      </c>
    </row>
    <row r="76" spans="1:13" x14ac:dyDescent="0.3">
      <c r="B76" t="s">
        <v>106</v>
      </c>
      <c r="C76" s="25">
        <f>IFERROR('CashFlow Data'!C4,0)</f>
        <v>9549</v>
      </c>
      <c r="D76" s="25">
        <f>IFERROR('CashFlow Data'!D4,0)</f>
        <v>4861</v>
      </c>
      <c r="E76" s="25">
        <f>IFERROR('CashFlow Data'!E4,0)</f>
        <v>5779</v>
      </c>
      <c r="F76" s="25">
        <f>IFERROR('CashFlow Data'!F4,0)</f>
        <v>7002</v>
      </c>
      <c r="G76" s="25">
        <f>IFERROR('CashFlow Data'!G4,0)</f>
        <v>4609</v>
      </c>
      <c r="H76" s="25">
        <f>IFERROR('CashFlow Data'!H4,0)</f>
        <v>6456</v>
      </c>
      <c r="I76" s="25">
        <f>IFERROR('CashFlow Data'!I4,0)</f>
        <v>12131</v>
      </c>
      <c r="J76" s="25">
        <f>IFERROR('CashFlow Data'!J4,0)</f>
        <v>12642</v>
      </c>
      <c r="K76" s="25">
        <f>IFERROR('CashFlow Data'!K4,0)</f>
        <v>14872</v>
      </c>
      <c r="L76" s="25">
        <f>IFERROR('CashFlow Data'!L4,0)</f>
        <v>16001</v>
      </c>
    </row>
    <row r="77" spans="1:13" x14ac:dyDescent="0.3">
      <c r="B77" t="s">
        <v>63</v>
      </c>
      <c r="C77" s="25">
        <f>IFERROR('CashFlow Data'!C5,0)</f>
        <v>-293</v>
      </c>
      <c r="D77" s="25">
        <f>IFERROR('CashFlow Data'!D5,0)</f>
        <v>-773</v>
      </c>
      <c r="E77" s="25">
        <f>IFERROR('CashFlow Data'!E5,0)</f>
        <v>-858</v>
      </c>
      <c r="F77" s="25">
        <f>IFERROR('CashFlow Data'!F5,0)</f>
        <v>-374</v>
      </c>
      <c r="G77" s="25">
        <f>IFERROR('CashFlow Data'!G5,0)</f>
        <v>94</v>
      </c>
      <c r="H77" s="25">
        <f>IFERROR('CashFlow Data'!H5,0)</f>
        <v>-1342</v>
      </c>
      <c r="I77" s="25">
        <f>IFERROR('CashFlow Data'!I5,0)</f>
        <v>-953</v>
      </c>
      <c r="J77" s="25">
        <f>IFERROR('CashFlow Data'!J5,0)</f>
        <v>353</v>
      </c>
      <c r="K77" s="25">
        <f>IFERROR('CashFlow Data'!K5,0)</f>
        <v>-1602</v>
      </c>
      <c r="L77" s="25">
        <f>IFERROR('CashFlow Data'!L5,0)</f>
        <v>-2009</v>
      </c>
    </row>
    <row r="78" spans="1:13" x14ac:dyDescent="0.3">
      <c r="B78" t="s">
        <v>43</v>
      </c>
      <c r="C78" s="25">
        <f>IFERROR('CashFlow Data'!C6,0)</f>
        <v>-345</v>
      </c>
      <c r="D78" s="25">
        <f>IFERROR('CashFlow Data'!D6,0)</f>
        <v>-4</v>
      </c>
      <c r="E78" s="25">
        <f>IFERROR('CashFlow Data'!E6,0)</f>
        <v>-709</v>
      </c>
      <c r="F78" s="25">
        <f>IFERROR('CashFlow Data'!F6,0)</f>
        <v>257</v>
      </c>
      <c r="G78" s="25">
        <f>IFERROR('CashFlow Data'!G6,0)</f>
        <v>-1080</v>
      </c>
      <c r="H78" s="25">
        <f>IFERROR('CashFlow Data'!H6,0)</f>
        <v>307</v>
      </c>
      <c r="I78" s="25">
        <f>IFERROR('CashFlow Data'!I6,0)</f>
        <v>-1202</v>
      </c>
      <c r="J78" s="25">
        <f>IFERROR('CashFlow Data'!J6,0)</f>
        <v>599</v>
      </c>
      <c r="K78" s="25">
        <f>IFERROR('CashFlow Data'!K6,0)</f>
        <v>-184</v>
      </c>
      <c r="L78" s="25">
        <f>IFERROR('CashFlow Data'!L6,0)</f>
        <v>-52</v>
      </c>
    </row>
    <row r="79" spans="1:13" x14ac:dyDescent="0.3">
      <c r="B79" t="s">
        <v>107</v>
      </c>
      <c r="C79" s="25">
        <f>IFERROR('CashFlow Data'!C7,0)</f>
        <v>735</v>
      </c>
      <c r="D79" s="25">
        <f>IFERROR('CashFlow Data'!D7,0)</f>
        <v>383</v>
      </c>
      <c r="E79" s="25">
        <f>IFERROR('CashFlow Data'!E7,0)</f>
        <v>-854</v>
      </c>
      <c r="F79" s="25">
        <f>IFERROR('CashFlow Data'!F7,0)</f>
        <v>-210</v>
      </c>
      <c r="G79" s="25">
        <f>IFERROR('CashFlow Data'!G7,0)</f>
        <v>381</v>
      </c>
      <c r="H79" s="25">
        <f>IFERROR('CashFlow Data'!H7,0)</f>
        <v>370</v>
      </c>
      <c r="I79" s="25">
        <f>IFERROR('CashFlow Data'!I7,0)</f>
        <v>1182</v>
      </c>
      <c r="J79" s="25">
        <f>IFERROR('CashFlow Data'!J7,0)</f>
        <v>250</v>
      </c>
      <c r="K79" s="25">
        <f>IFERROR('CashFlow Data'!K7,0)</f>
        <v>528</v>
      </c>
      <c r="L79" s="25">
        <f>IFERROR('CashFlow Data'!L7,0)</f>
        <v>1057</v>
      </c>
    </row>
    <row r="80" spans="1:13" x14ac:dyDescent="0.3">
      <c r="B80" t="s">
        <v>108</v>
      </c>
      <c r="C80" s="25">
        <f>IFERROR('CashFlow Data'!C8,0)</f>
        <v>0</v>
      </c>
      <c r="D80" s="25">
        <f>IFERROR('CashFlow Data'!D8,0)</f>
        <v>0</v>
      </c>
      <c r="E80" s="25">
        <f>IFERROR('CashFlow Data'!E8,0)</f>
        <v>0</v>
      </c>
      <c r="F80" s="25">
        <f>IFERROR('CashFlow Data'!F8,0)</f>
        <v>0</v>
      </c>
      <c r="G80" s="25">
        <f>IFERROR('CashFlow Data'!G8,0)</f>
        <v>0</v>
      </c>
      <c r="H80" s="25">
        <f>IFERROR('CashFlow Data'!H8,0)</f>
        <v>0</v>
      </c>
      <c r="I80" s="25">
        <f>IFERROR('CashFlow Data'!I8,0)</f>
        <v>0</v>
      </c>
      <c r="J80" s="25">
        <f>IFERROR('CashFlow Data'!J8,0)</f>
        <v>0</v>
      </c>
      <c r="K80" s="25">
        <f>IFERROR('CashFlow Data'!K8,0)</f>
        <v>0</v>
      </c>
      <c r="L80" s="25">
        <f>IFERROR('CashFlow Data'!L8,0)</f>
        <v>0</v>
      </c>
    </row>
    <row r="81" spans="2:12" x14ac:dyDescent="0.3">
      <c r="B81" t="s">
        <v>109</v>
      </c>
      <c r="C81" s="25">
        <f>IFERROR('CashFlow Data'!C9,0)</f>
        <v>-506</v>
      </c>
      <c r="D81" s="25">
        <f>IFERROR('CashFlow Data'!D9,0)</f>
        <v>182</v>
      </c>
      <c r="E81" s="25">
        <f>IFERROR('CashFlow Data'!E9,0)</f>
        <v>-275</v>
      </c>
      <c r="F81" s="25">
        <f>IFERROR('CashFlow Data'!F9,0)</f>
        <v>1226</v>
      </c>
      <c r="G81" s="25">
        <f>IFERROR('CashFlow Data'!G9,0)</f>
        <v>3169</v>
      </c>
      <c r="H81" s="25">
        <f>IFERROR('CashFlow Data'!H9,0)</f>
        <v>2224</v>
      </c>
      <c r="I81" s="25">
        <f>IFERROR('CashFlow Data'!I9,0)</f>
        <v>-4689</v>
      </c>
      <c r="J81" s="25">
        <f>IFERROR('CashFlow Data'!J9,0)</f>
        <v>-139</v>
      </c>
      <c r="K81" s="25">
        <f>IFERROR('CashFlow Data'!K9,0)</f>
        <v>934</v>
      </c>
      <c r="L81" s="25">
        <f>IFERROR('CashFlow Data'!L9,0)</f>
        <v>-264</v>
      </c>
    </row>
    <row r="82" spans="2:12" x14ac:dyDescent="0.3">
      <c r="B82" t="s">
        <v>110</v>
      </c>
      <c r="C82" s="25">
        <f>IFERROR('CashFlow Data'!C10,0)</f>
        <v>-409</v>
      </c>
      <c r="D82" s="25">
        <f>IFERROR('CashFlow Data'!D10,0)</f>
        <v>-212</v>
      </c>
      <c r="E82" s="25">
        <f>IFERROR('CashFlow Data'!E10,0)</f>
        <v>-2696</v>
      </c>
      <c r="F82" s="25">
        <f>IFERROR('CashFlow Data'!F10,0)</f>
        <v>899</v>
      </c>
      <c r="G82" s="25">
        <f>IFERROR('CashFlow Data'!G10,0)</f>
        <v>2564</v>
      </c>
      <c r="H82" s="25">
        <f>IFERROR('CashFlow Data'!H10,0)</f>
        <v>1559</v>
      </c>
      <c r="I82" s="25">
        <f>IFERROR('CashFlow Data'!I10,0)</f>
        <v>-5662</v>
      </c>
      <c r="J82" s="25">
        <f>IFERROR('CashFlow Data'!J10,0)</f>
        <v>1062</v>
      </c>
      <c r="K82" s="25">
        <f>IFERROR('CashFlow Data'!K10,0)</f>
        <v>-324</v>
      </c>
      <c r="L82" s="25">
        <f>IFERROR('CashFlow Data'!L10,0)</f>
        <v>-1268</v>
      </c>
    </row>
    <row r="83" spans="2:12" x14ac:dyDescent="0.3">
      <c r="B83" t="s">
        <v>111</v>
      </c>
      <c r="C83" s="25">
        <f>IFERROR('CashFlow Data'!C11,0)</f>
        <v>-2057</v>
      </c>
      <c r="D83" s="25">
        <f>IFERROR('CashFlow Data'!D11,0)</f>
        <v>-742</v>
      </c>
      <c r="E83" s="25">
        <f>IFERROR('CashFlow Data'!E11,0)</f>
        <v>-886</v>
      </c>
      <c r="F83" s="25">
        <f>IFERROR('CashFlow Data'!F11,0)</f>
        <v>-1346</v>
      </c>
      <c r="G83" s="25">
        <f>IFERROR('CashFlow Data'!G11,0)</f>
        <v>-1003</v>
      </c>
      <c r="H83" s="25">
        <f>IFERROR('CashFlow Data'!H11,0)</f>
        <v>969</v>
      </c>
      <c r="I83" s="25">
        <f>IFERROR('CashFlow Data'!I11,0)</f>
        <v>-1510</v>
      </c>
      <c r="J83" s="25">
        <f>IFERROR('CashFlow Data'!J11,0)</f>
        <v>-1569</v>
      </c>
      <c r="K83" s="25">
        <f>IFERROR('CashFlow Data'!K11,0)</f>
        <v>-477</v>
      </c>
      <c r="L83" s="25">
        <f>IFERROR('CashFlow Data'!L11,0)</f>
        <v>-2314</v>
      </c>
    </row>
    <row r="84" spans="2:12" x14ac:dyDescent="0.3">
      <c r="B84" s="2" t="s">
        <v>137</v>
      </c>
      <c r="C84" s="28">
        <f t="shared" ref="C84:L84" si="24">SUM(C76:C83)</f>
        <v>6674</v>
      </c>
      <c r="D84" s="28">
        <f t="shared" si="24"/>
        <v>3695</v>
      </c>
      <c r="E84" s="28">
        <f t="shared" si="24"/>
        <v>-499</v>
      </c>
      <c r="F84" s="28">
        <f t="shared" si="24"/>
        <v>7454</v>
      </c>
      <c r="G84" s="28">
        <f t="shared" si="24"/>
        <v>8734</v>
      </c>
      <c r="H84" s="28">
        <f t="shared" si="24"/>
        <v>10543</v>
      </c>
      <c r="I84" s="28">
        <f t="shared" si="24"/>
        <v>-703</v>
      </c>
      <c r="J84" s="28">
        <f t="shared" si="24"/>
        <v>13198</v>
      </c>
      <c r="K84" s="28">
        <f t="shared" si="24"/>
        <v>13747</v>
      </c>
      <c r="L84" s="28">
        <f t="shared" si="24"/>
        <v>11151</v>
      </c>
    </row>
    <row r="86" spans="2:12" x14ac:dyDescent="0.3">
      <c r="B86" s="2" t="s">
        <v>139</v>
      </c>
    </row>
    <row r="87" spans="2:12" x14ac:dyDescent="0.3">
      <c r="B87" t="s">
        <v>112</v>
      </c>
      <c r="C87" s="25">
        <f>IFERROR('CashFlow Data'!C13,0)</f>
        <v>-3693</v>
      </c>
      <c r="D87" s="25">
        <f>IFERROR('CashFlow Data'!D13,0)</f>
        <v>-1961</v>
      </c>
      <c r="E87" s="25">
        <f>IFERROR('CashFlow Data'!E13,0)</f>
        <v>-3213</v>
      </c>
      <c r="F87" s="25">
        <f>IFERROR('CashFlow Data'!F13,0)</f>
        <v>-1542</v>
      </c>
      <c r="G87" s="25">
        <f>IFERROR('CashFlow Data'!G13,0)</f>
        <v>-1170</v>
      </c>
      <c r="H87" s="25">
        <f>IFERROR('CashFlow Data'!H13,0)</f>
        <v>-1495</v>
      </c>
      <c r="I87" s="25">
        <f>IFERROR('CashFlow Data'!I13,0)</f>
        <v>-2086</v>
      </c>
      <c r="J87" s="25">
        <f>IFERROR('CashFlow Data'!J13,0)</f>
        <v>-2202</v>
      </c>
      <c r="K87" s="25">
        <f>IFERROR('CashFlow Data'!K13,0)</f>
        <v>-2129</v>
      </c>
      <c r="L87" s="25">
        <f>IFERROR('CashFlow Data'!L13,0)</f>
        <v>-3609</v>
      </c>
    </row>
    <row r="88" spans="2:12" x14ac:dyDescent="0.3">
      <c r="B88" t="s">
        <v>113</v>
      </c>
      <c r="C88" s="25">
        <f>IFERROR('CashFlow Data'!C14,0)</f>
        <v>102</v>
      </c>
      <c r="D88" s="25">
        <f>IFERROR('CashFlow Data'!D14,0)</f>
        <v>66</v>
      </c>
      <c r="E88" s="25">
        <f>IFERROR('CashFlow Data'!E14,0)</f>
        <v>50</v>
      </c>
      <c r="F88" s="25">
        <f>IFERROR('CashFlow Data'!F14,0)</f>
        <v>92</v>
      </c>
      <c r="G88" s="25">
        <f>IFERROR('CashFlow Data'!G14,0)</f>
        <v>97</v>
      </c>
      <c r="H88" s="25">
        <f>IFERROR('CashFlow Data'!H14,0)</f>
        <v>61</v>
      </c>
      <c r="I88" s="25">
        <f>IFERROR('CashFlow Data'!I14,0)</f>
        <v>21</v>
      </c>
      <c r="J88" s="25">
        <f>IFERROR('CashFlow Data'!J14,0)</f>
        <v>31</v>
      </c>
      <c r="K88" s="25">
        <f>IFERROR('CashFlow Data'!K14,0)</f>
        <v>61</v>
      </c>
      <c r="L88" s="25">
        <f>IFERROR('CashFlow Data'!L14,0)</f>
        <v>96</v>
      </c>
    </row>
    <row r="89" spans="2:12" x14ac:dyDescent="0.3">
      <c r="B89" t="s">
        <v>114</v>
      </c>
      <c r="C89" s="25">
        <f>IFERROR('CashFlow Data'!C15,0)</f>
        <v>-38831</v>
      </c>
      <c r="D89" s="25">
        <f>IFERROR('CashFlow Data'!D15,0)</f>
        <v>-40587</v>
      </c>
      <c r="E89" s="25">
        <f>IFERROR('CashFlow Data'!E15,0)</f>
        <v>-35396</v>
      </c>
      <c r="F89" s="25">
        <f>IFERROR('CashFlow Data'!F15,0)</f>
        <v>-33445</v>
      </c>
      <c r="G89" s="25">
        <f>IFERROR('CashFlow Data'!G15,0)</f>
        <v>-18542</v>
      </c>
      <c r="H89" s="25">
        <f>IFERROR('CashFlow Data'!H15,0)</f>
        <v>-24135</v>
      </c>
      <c r="I89" s="25">
        <f>IFERROR('CashFlow Data'!I15,0)</f>
        <v>-21809</v>
      </c>
      <c r="J89" s="25">
        <f>IFERROR('CashFlow Data'!J15,0)</f>
        <v>-29004</v>
      </c>
      <c r="K89" s="25">
        <f>IFERROR('CashFlow Data'!K15,0)</f>
        <v>-32263</v>
      </c>
      <c r="L89" s="25">
        <f>IFERROR('CashFlow Data'!L15,0)</f>
        <v>-30804</v>
      </c>
    </row>
    <row r="90" spans="2:12" x14ac:dyDescent="0.3">
      <c r="B90" t="s">
        <v>115</v>
      </c>
      <c r="C90" s="25">
        <f>IFERROR('CashFlow Data'!C16,0)</f>
        <v>39194</v>
      </c>
      <c r="D90" s="25">
        <f>IFERROR('CashFlow Data'!D16,0)</f>
        <v>34992</v>
      </c>
      <c r="E90" s="25">
        <f>IFERROR('CashFlow Data'!E16,0)</f>
        <v>35207</v>
      </c>
      <c r="F90" s="25">
        <f>IFERROR('CashFlow Data'!F16,0)</f>
        <v>31894</v>
      </c>
      <c r="G90" s="25">
        <f>IFERROR('CashFlow Data'!G16,0)</f>
        <v>19709</v>
      </c>
      <c r="H90" s="25">
        <f>IFERROR('CashFlow Data'!H16,0)</f>
        <v>20702</v>
      </c>
      <c r="I90" s="25">
        <f>IFERROR('CashFlow Data'!I16,0)</f>
        <v>20897</v>
      </c>
      <c r="J90" s="25">
        <f>IFERROR('CashFlow Data'!J16,0)</f>
        <v>30094</v>
      </c>
      <c r="K90" s="25">
        <f>IFERROR('CashFlow Data'!K16,0)</f>
        <v>29418</v>
      </c>
      <c r="L90" s="25">
        <f>IFERROR('CashFlow Data'!L16,0)</f>
        <v>26167</v>
      </c>
    </row>
    <row r="91" spans="2:12" x14ac:dyDescent="0.3">
      <c r="B91" t="s">
        <v>116</v>
      </c>
      <c r="C91" s="25">
        <f>IFERROR('CashFlow Data'!C17,0)</f>
        <v>337</v>
      </c>
      <c r="D91" s="25">
        <f>IFERROR('CashFlow Data'!D17,0)</f>
        <v>510</v>
      </c>
      <c r="E91" s="25">
        <f>IFERROR('CashFlow Data'!E17,0)</f>
        <v>684</v>
      </c>
      <c r="F91" s="25">
        <f>IFERROR('CashFlow Data'!F17,0)</f>
        <v>338</v>
      </c>
      <c r="G91" s="25">
        <f>IFERROR('CashFlow Data'!G17,0)</f>
        <v>72</v>
      </c>
      <c r="H91" s="25">
        <f>IFERROR('CashFlow Data'!H17,0)</f>
        <v>76</v>
      </c>
      <c r="I91" s="25">
        <f>IFERROR('CashFlow Data'!I17,0)</f>
        <v>318</v>
      </c>
      <c r="J91" s="25">
        <f>IFERROR('CashFlow Data'!J17,0)</f>
        <v>613</v>
      </c>
      <c r="K91" s="25">
        <f>IFERROR('CashFlow Data'!K17,0)</f>
        <v>804</v>
      </c>
      <c r="L91" s="25">
        <f>IFERROR('CashFlow Data'!L17,0)</f>
        <v>705</v>
      </c>
    </row>
    <row r="92" spans="2:12" x14ac:dyDescent="0.3">
      <c r="B92" t="s">
        <v>117</v>
      </c>
      <c r="C92" s="25">
        <f>IFERROR('CashFlow Data'!C18,0)</f>
        <v>42</v>
      </c>
      <c r="D92" s="25">
        <f>IFERROR('CashFlow Data'!D18,0)</f>
        <v>37</v>
      </c>
      <c r="E92" s="25">
        <f>IFERROR('CashFlow Data'!E18,0)</f>
        <v>22</v>
      </c>
      <c r="F92" s="25">
        <f>IFERROR('CashFlow Data'!F18,0)</f>
        <v>56</v>
      </c>
      <c r="G92" s="25">
        <f>IFERROR('CashFlow Data'!G18,0)</f>
        <v>138</v>
      </c>
      <c r="H92" s="25">
        <f>IFERROR('CashFlow Data'!H18,0)</f>
        <v>134</v>
      </c>
      <c r="I92" s="25">
        <f>IFERROR('CashFlow Data'!I18,0)</f>
        <v>132</v>
      </c>
      <c r="J92" s="25">
        <f>IFERROR('CashFlow Data'!J18,0)</f>
        <v>99</v>
      </c>
      <c r="K92" s="25">
        <f>IFERROR('CashFlow Data'!K18,0)</f>
        <v>66</v>
      </c>
      <c r="L92" s="25">
        <f>IFERROR('CashFlow Data'!L18,0)</f>
        <v>59</v>
      </c>
    </row>
    <row r="93" spans="2:12" x14ac:dyDescent="0.3">
      <c r="B93" t="s">
        <v>118</v>
      </c>
      <c r="C93" s="25">
        <f>IFERROR('CashFlow Data'!C19,0)</f>
        <v>0</v>
      </c>
      <c r="D93" s="25">
        <f>IFERROR('CashFlow Data'!D19,0)</f>
        <v>0</v>
      </c>
      <c r="E93" s="25">
        <f>IFERROR('CashFlow Data'!E19,0)</f>
        <v>0</v>
      </c>
      <c r="F93" s="25">
        <f>IFERROR('CashFlow Data'!F19,0)</f>
        <v>0</v>
      </c>
      <c r="G93" s="25">
        <f>IFERROR('CashFlow Data'!G19,0)</f>
        <v>0</v>
      </c>
      <c r="H93" s="25">
        <f>IFERROR('CashFlow Data'!H19,0)</f>
        <v>-15</v>
      </c>
      <c r="I93" s="25">
        <f>IFERROR('CashFlow Data'!I19,0)</f>
        <v>-155</v>
      </c>
      <c r="J93" s="25">
        <f>IFERROR('CashFlow Data'!J19,0)</f>
        <v>-87</v>
      </c>
      <c r="K93" s="25">
        <f>IFERROR('CashFlow Data'!K19,0)</f>
        <v>-46</v>
      </c>
      <c r="L93" s="25">
        <f>IFERROR('CashFlow Data'!L19,0)</f>
        <v>0</v>
      </c>
    </row>
    <row r="94" spans="2:12" x14ac:dyDescent="0.3">
      <c r="B94" t="s">
        <v>119</v>
      </c>
      <c r="C94" s="25">
        <f>IFERROR('CashFlow Data'!C20,0)</f>
        <v>0</v>
      </c>
      <c r="D94" s="25">
        <f>IFERROR('CashFlow Data'!D20,0)</f>
        <v>0</v>
      </c>
      <c r="E94" s="25">
        <f>IFERROR('CashFlow Data'!E20,0)</f>
        <v>0</v>
      </c>
      <c r="F94" s="25">
        <f>IFERROR('CashFlow Data'!F20,0)</f>
        <v>0</v>
      </c>
      <c r="G94" s="25">
        <f>IFERROR('CashFlow Data'!G20,0)</f>
        <v>0</v>
      </c>
      <c r="H94" s="25">
        <f>IFERROR('CashFlow Data'!H20,0)</f>
        <v>24</v>
      </c>
      <c r="I94" s="25">
        <f>IFERROR('CashFlow Data'!I20,0)</f>
        <v>0</v>
      </c>
      <c r="J94" s="25">
        <f>IFERROR('CashFlow Data'!J20,0)</f>
        <v>0</v>
      </c>
      <c r="K94" s="25">
        <f>IFERROR('CashFlow Data'!K20,0)</f>
        <v>0</v>
      </c>
      <c r="L94" s="25">
        <f>IFERROR('CashFlow Data'!L20,0)</f>
        <v>0</v>
      </c>
    </row>
    <row r="95" spans="2:12" x14ac:dyDescent="0.3">
      <c r="B95" t="s">
        <v>120</v>
      </c>
      <c r="C95" s="25">
        <f>IFERROR('CashFlow Data'!C21,0)</f>
        <v>-167</v>
      </c>
      <c r="D95" s="25">
        <f>IFERROR('CashFlow Data'!D21,0)</f>
        <v>-86</v>
      </c>
      <c r="E95" s="25">
        <f>IFERROR('CashFlow Data'!E21,0)</f>
        <v>-23</v>
      </c>
      <c r="F95" s="25">
        <f>IFERROR('CashFlow Data'!F21,0)</f>
        <v>0</v>
      </c>
      <c r="G95" s="25">
        <f>IFERROR('CashFlow Data'!G21,0)</f>
        <v>-62</v>
      </c>
      <c r="H95" s="25">
        <f>IFERROR('CashFlow Data'!H21,0)</f>
        <v>-740</v>
      </c>
      <c r="I95" s="25">
        <f>IFERROR('CashFlow Data'!I21,0)</f>
        <v>-4686</v>
      </c>
      <c r="J95" s="25">
        <f>IFERROR('CashFlow Data'!J21,0)</f>
        <v>-143</v>
      </c>
      <c r="K95" s="25">
        <f>IFERROR('CashFlow Data'!K21,0)</f>
        <v>-273</v>
      </c>
      <c r="L95" s="25">
        <f>IFERROR('CashFlow Data'!L21,0)</f>
        <v>-3405</v>
      </c>
    </row>
    <row r="96" spans="2:12" x14ac:dyDescent="0.3">
      <c r="B96" t="s">
        <v>121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</row>
    <row r="97" spans="2:13" x14ac:dyDescent="0.3">
      <c r="B97" t="s">
        <v>122</v>
      </c>
      <c r="C97" s="25">
        <f>IFERROR('CashFlow Data'!C22,0)</f>
        <v>-1170</v>
      </c>
      <c r="D97" s="25">
        <f>IFERROR('CashFlow Data'!D22,0)</f>
        <v>3923</v>
      </c>
      <c r="E97" s="25">
        <f>IFERROR('CashFlow Data'!E22,0)</f>
        <v>2357</v>
      </c>
      <c r="F97" s="25">
        <f>IFERROR('CashFlow Data'!F22,0)</f>
        <v>382</v>
      </c>
      <c r="G97" s="25">
        <f>IFERROR('CashFlow Data'!G22,0)</f>
        <v>165</v>
      </c>
      <c r="H97" s="25">
        <f>IFERROR('CashFlow Data'!H22,0)</f>
        <v>-167</v>
      </c>
      <c r="I97" s="25">
        <f>IFERROR('CashFlow Data'!I22,0)</f>
        <v>148</v>
      </c>
      <c r="J97" s="25">
        <f>IFERROR('CashFlow Data'!J22,0)</f>
        <v>-164</v>
      </c>
      <c r="K97" s="25">
        <f>IFERROR('CashFlow Data'!K22,0)</f>
        <v>-821</v>
      </c>
      <c r="L97" s="25">
        <f>IFERROR('CashFlow Data'!L22,0)</f>
        <v>-553</v>
      </c>
    </row>
    <row r="98" spans="2:13" x14ac:dyDescent="0.3">
      <c r="B98" s="2" t="s">
        <v>140</v>
      </c>
      <c r="C98" s="28">
        <f t="shared" ref="C98:L98" si="25">SUM(C87:C97)</f>
        <v>-4186</v>
      </c>
      <c r="D98" s="28">
        <f t="shared" si="25"/>
        <v>-3106</v>
      </c>
      <c r="E98" s="28">
        <f t="shared" si="25"/>
        <v>-312</v>
      </c>
      <c r="F98" s="28">
        <f t="shared" si="25"/>
        <v>-2225</v>
      </c>
      <c r="G98" s="28">
        <f t="shared" si="25"/>
        <v>407</v>
      </c>
      <c r="H98" s="28">
        <f t="shared" si="25"/>
        <v>-5555</v>
      </c>
      <c r="I98" s="28">
        <f t="shared" si="25"/>
        <v>-7220</v>
      </c>
      <c r="J98" s="28">
        <f t="shared" si="25"/>
        <v>-763</v>
      </c>
      <c r="K98" s="28">
        <f t="shared" si="25"/>
        <v>-5183</v>
      </c>
      <c r="L98" s="28">
        <f t="shared" si="25"/>
        <v>-11344</v>
      </c>
    </row>
    <row r="99" spans="2:13" x14ac:dyDescent="0.3">
      <c r="C99" s="25"/>
    </row>
    <row r="100" spans="2:13" x14ac:dyDescent="0.3">
      <c r="B100" s="2" t="s">
        <v>141</v>
      </c>
    </row>
    <row r="101" spans="2:13" x14ac:dyDescent="0.3">
      <c r="B101" t="s">
        <v>123</v>
      </c>
      <c r="C101" s="25">
        <f>IFERROR('CashFlow Data'!C24,0)</f>
        <v>2</v>
      </c>
      <c r="D101" s="25">
        <f>IFERROR('CashFlow Data'!D24,0)</f>
        <v>1</v>
      </c>
      <c r="E101" s="25">
        <f>IFERROR('CashFlow Data'!E24,0)</f>
        <v>0</v>
      </c>
      <c r="F101" s="25">
        <f>IFERROR('CashFlow Data'!F24,0)</f>
        <v>0</v>
      </c>
      <c r="G101" s="25">
        <f>IFERROR('CashFlow Data'!G24,0)</f>
        <v>425</v>
      </c>
      <c r="H101" s="25">
        <f>IFERROR('CashFlow Data'!H24,0)</f>
        <v>0</v>
      </c>
      <c r="I101" s="25">
        <f>IFERROR('CashFlow Data'!I24,0)</f>
        <v>0</v>
      </c>
      <c r="J101" s="25">
        <f>IFERROR('CashFlow Data'!J24,0)</f>
        <v>0</v>
      </c>
      <c r="K101" s="25">
        <f>IFERROR('CashFlow Data'!K24,0)</f>
        <v>0</v>
      </c>
      <c r="L101" s="25">
        <f>IFERROR('CashFlow Data'!L24,0)</f>
        <v>0</v>
      </c>
      <c r="M101" s="25"/>
    </row>
    <row r="102" spans="2:13" x14ac:dyDescent="0.3">
      <c r="B102" t="s">
        <v>124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0</v>
      </c>
      <c r="M102" s="25"/>
    </row>
    <row r="103" spans="2:13" x14ac:dyDescent="0.3">
      <c r="B103" t="s">
        <v>125</v>
      </c>
      <c r="C103" s="25">
        <f>IFERROR('CashFlow Data'!C25,0)</f>
        <v>0</v>
      </c>
      <c r="D103" s="25">
        <f>IFERROR('CashFlow Data'!D25,0)</f>
        <v>0</v>
      </c>
      <c r="E103" s="25">
        <f>IFERROR('CashFlow Data'!E25,0)</f>
        <v>17698</v>
      </c>
      <c r="F103" s="25">
        <f>IFERROR('CashFlow Data'!F25,0)</f>
        <v>10552</v>
      </c>
      <c r="G103" s="25">
        <f>IFERROR('CashFlow Data'!G25,0)</f>
        <v>6603</v>
      </c>
      <c r="H103" s="25">
        <f>IFERROR('CashFlow Data'!H25,0)</f>
        <v>1763</v>
      </c>
      <c r="I103" s="25">
        <f>IFERROR('CashFlow Data'!I25,0)</f>
        <v>8160</v>
      </c>
      <c r="J103" s="25">
        <f>IFERROR('CashFlow Data'!J25,0)</f>
        <v>4573</v>
      </c>
      <c r="K103" s="25">
        <f>IFERROR('CashFlow Data'!K25,0)</f>
        <v>3362</v>
      </c>
      <c r="L103" s="25">
        <f>IFERROR('CashFlow Data'!L25,0)</f>
        <v>5322</v>
      </c>
      <c r="M103" s="25"/>
    </row>
    <row r="104" spans="2:13" x14ac:dyDescent="0.3">
      <c r="B104" t="s">
        <v>126</v>
      </c>
      <c r="C104" s="25">
        <f>IFERROR('CashFlow Data'!C26,0)</f>
        <v>0</v>
      </c>
      <c r="D104" s="25">
        <f>IFERROR('CashFlow Data'!D26,0)</f>
        <v>0</v>
      </c>
      <c r="E104" s="25">
        <f>IFERROR('CashFlow Data'!E26,0)</f>
        <v>-16807</v>
      </c>
      <c r="F104" s="25">
        <f>IFERROR('CashFlow Data'!F26,0)</f>
        <v>-13893</v>
      </c>
      <c r="G104" s="25">
        <f>IFERROR('CashFlow Data'!G26,0)</f>
        <v>-10802</v>
      </c>
      <c r="H104" s="25">
        <f>IFERROR('CashFlow Data'!H26,0)</f>
        <v>-4400</v>
      </c>
      <c r="I104" s="25">
        <f>IFERROR('CashFlow Data'!I26,0)</f>
        <v>-3030</v>
      </c>
      <c r="J104" s="25">
        <f>IFERROR('CashFlow Data'!J26,0)</f>
        <v>-7963</v>
      </c>
      <c r="K104" s="25">
        <f>IFERROR('CashFlow Data'!K26,0)</f>
        <v>-4392</v>
      </c>
      <c r="L104" s="25">
        <f>IFERROR('CashFlow Data'!L26,0)</f>
        <v>-3410</v>
      </c>
      <c r="M104" s="25"/>
    </row>
    <row r="105" spans="2:13" x14ac:dyDescent="0.3">
      <c r="B105" t="s">
        <v>127</v>
      </c>
      <c r="C105" s="25">
        <f>IFERROR('CashFlow Data'!C27,0)</f>
        <v>-334</v>
      </c>
      <c r="D105" s="25">
        <f>IFERROR('CashFlow Data'!D27,0)</f>
        <v>-477</v>
      </c>
      <c r="E105" s="25">
        <f>IFERROR('CashFlow Data'!E27,0)</f>
        <v>-461</v>
      </c>
      <c r="F105" s="25">
        <f>IFERROR('CashFlow Data'!F27,0)</f>
        <v>-272</v>
      </c>
      <c r="G105" s="25">
        <f>IFERROR('CashFlow Data'!G27,0)</f>
        <v>-144</v>
      </c>
      <c r="H105" s="25">
        <f>IFERROR('CashFlow Data'!H27,0)</f>
        <v>-73</v>
      </c>
      <c r="I105" s="25">
        <f>IFERROR('CashFlow Data'!I27,0)</f>
        <v>-132</v>
      </c>
      <c r="J105" s="25">
        <f>IFERROR('CashFlow Data'!J27,0)</f>
        <v>-219</v>
      </c>
      <c r="K105" s="25">
        <f>IFERROR('CashFlow Data'!K27,0)</f>
        <v>-224</v>
      </c>
      <c r="L105" s="25">
        <f>IFERROR('CashFlow Data'!L27,0)</f>
        <v>0</v>
      </c>
      <c r="M105" s="25"/>
    </row>
    <row r="106" spans="2:13" x14ac:dyDescent="0.3">
      <c r="B106" t="s">
        <v>128</v>
      </c>
      <c r="C106" s="25">
        <f>IFERROR('CashFlow Data'!C28,0)</f>
        <v>-243</v>
      </c>
      <c r="D106" s="25">
        <f>IFERROR('CashFlow Data'!D28,0)</f>
        <v>-813</v>
      </c>
      <c r="E106" s="25">
        <f>IFERROR('CashFlow Data'!E28,0)</f>
        <v>-1326</v>
      </c>
      <c r="F106" s="25">
        <f>IFERROR('CashFlow Data'!F28,0)</f>
        <v>-1399</v>
      </c>
      <c r="G106" s="25">
        <f>IFERROR('CashFlow Data'!G28,0)</f>
        <v>-1586</v>
      </c>
      <c r="H106" s="25">
        <f>IFERROR('CashFlow Data'!H28,0)</f>
        <v>-2169</v>
      </c>
      <c r="I106" s="25">
        <f>IFERROR('CashFlow Data'!I28,0)</f>
        <v>-2520</v>
      </c>
      <c r="J106" s="25">
        <f>IFERROR('CashFlow Data'!J28,0)</f>
        <v>-2901</v>
      </c>
      <c r="K106" s="25">
        <f>IFERROR('CashFlow Data'!K28,0)</f>
        <v>-3617</v>
      </c>
      <c r="L106" s="25">
        <f>IFERROR('CashFlow Data'!L28,0)</f>
        <v>-3938</v>
      </c>
      <c r="M106" s="25"/>
    </row>
    <row r="107" spans="2:13" x14ac:dyDescent="0.3">
      <c r="B107" t="s">
        <v>129</v>
      </c>
      <c r="C107" s="25">
        <f>IFERROR('CashFlow Data'!C29,0)</f>
        <v>0</v>
      </c>
      <c r="D107" s="25">
        <f>IFERROR('CashFlow Data'!D29,0)</f>
        <v>0</v>
      </c>
      <c r="E107" s="25">
        <f>IFERROR('CashFlow Data'!E29,0)</f>
        <v>0</v>
      </c>
      <c r="F107" s="25">
        <f>IFERROR('CashFlow Data'!F29,0)</f>
        <v>0</v>
      </c>
      <c r="G107" s="25">
        <f>IFERROR('CashFlow Data'!G29,0)</f>
        <v>-118</v>
      </c>
      <c r="H107" s="25">
        <f>IFERROR('CashFlow Data'!H29,0)</f>
        <v>-129</v>
      </c>
      <c r="I107" s="25">
        <f>IFERROR('CashFlow Data'!I29,0)</f>
        <v>-101</v>
      </c>
      <c r="J107" s="25">
        <f>IFERROR('CashFlow Data'!J29,0)</f>
        <v>-123</v>
      </c>
      <c r="K107" s="25">
        <f>IFERROR('CashFlow Data'!K29,0)</f>
        <v>-135</v>
      </c>
      <c r="L107" s="25">
        <f>IFERROR('CashFlow Data'!L29,0)</f>
        <v>-483</v>
      </c>
      <c r="M107" s="25"/>
    </row>
    <row r="108" spans="2:13" x14ac:dyDescent="0.3">
      <c r="B108" t="s">
        <v>130</v>
      </c>
      <c r="C108" s="25">
        <f>IFERROR('CashFlow Data'!C30,0)</f>
        <v>-1711</v>
      </c>
      <c r="D108" s="25">
        <f>IFERROR('CashFlow Data'!D30,0)</f>
        <v>-250</v>
      </c>
      <c r="E108" s="25">
        <f>IFERROR('CashFlow Data'!E30,0)</f>
        <v>-1835</v>
      </c>
      <c r="F108" s="25">
        <f>IFERROR('CashFlow Data'!F30,0)</f>
        <v>-702</v>
      </c>
      <c r="G108" s="25">
        <f>IFERROR('CashFlow Data'!G30,0)</f>
        <v>-358</v>
      </c>
      <c r="H108" s="25">
        <f>IFERROR('CashFlow Data'!H30,0)</f>
        <v>-186</v>
      </c>
      <c r="I108" s="25">
        <f>IFERROR('CashFlow Data'!I30,0)</f>
        <v>0</v>
      </c>
      <c r="J108" s="25">
        <f>IFERROR('CashFlow Data'!J30,0)</f>
        <v>-77</v>
      </c>
      <c r="K108" s="25">
        <f>IFERROR('CashFlow Data'!K30,0)</f>
        <v>-2900</v>
      </c>
      <c r="L108" s="25">
        <f>IFERROR('CashFlow Data'!L30,0)</f>
        <v>-4</v>
      </c>
      <c r="M108" s="25"/>
    </row>
    <row r="109" spans="2:13" x14ac:dyDescent="0.3">
      <c r="B109" s="2" t="s">
        <v>142</v>
      </c>
      <c r="C109" s="25">
        <f>SUM(C101:C108)</f>
        <v>-2286</v>
      </c>
      <c r="D109" s="25">
        <f t="shared" ref="D109:L109" si="26">SUM(D101:D108)</f>
        <v>-1539</v>
      </c>
      <c r="E109" s="25">
        <f t="shared" si="26"/>
        <v>-2731</v>
      </c>
      <c r="F109" s="25">
        <f t="shared" si="26"/>
        <v>-5714</v>
      </c>
      <c r="G109" s="25">
        <f t="shared" si="26"/>
        <v>-5980</v>
      </c>
      <c r="H109" s="25">
        <f t="shared" si="26"/>
        <v>-5194</v>
      </c>
      <c r="I109" s="25">
        <f t="shared" si="26"/>
        <v>2377</v>
      </c>
      <c r="J109" s="25">
        <f t="shared" si="26"/>
        <v>-6710</v>
      </c>
      <c r="K109" s="25">
        <f t="shared" si="26"/>
        <v>-7906</v>
      </c>
      <c r="L109" s="25">
        <f t="shared" si="26"/>
        <v>-2513</v>
      </c>
      <c r="M109" s="28"/>
    </row>
    <row r="111" spans="2:13" x14ac:dyDescent="0.3">
      <c r="B111" t="s">
        <v>34</v>
      </c>
      <c r="C111" s="28">
        <f>IFERROR(C84+C98+C109,0)</f>
        <v>202</v>
      </c>
      <c r="D111" s="28">
        <f t="shared" ref="D111:L111" si="27">IFERROR(D84+D98+D109,0)</f>
        <v>-950</v>
      </c>
      <c r="E111" s="28">
        <f t="shared" si="27"/>
        <v>-3542</v>
      </c>
      <c r="F111" s="28">
        <f t="shared" si="27"/>
        <v>-485</v>
      </c>
      <c r="G111" s="28">
        <f t="shared" si="27"/>
        <v>3161</v>
      </c>
      <c r="H111" s="28">
        <f t="shared" si="27"/>
        <v>-206</v>
      </c>
      <c r="I111" s="28">
        <f t="shared" si="27"/>
        <v>-5546</v>
      </c>
      <c r="J111" s="28">
        <f t="shared" si="27"/>
        <v>5725</v>
      </c>
      <c r="K111" s="28">
        <f t="shared" si="27"/>
        <v>658</v>
      </c>
      <c r="L111" s="28">
        <f t="shared" si="27"/>
        <v>-2706</v>
      </c>
    </row>
    <row r="113" spans="1:13" x14ac:dyDescent="0.3">
      <c r="A113" t="s">
        <v>78</v>
      </c>
      <c r="B113" s="24" t="s">
        <v>136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5" spans="1:13" x14ac:dyDescent="0.3">
      <c r="B115" t="s">
        <v>173</v>
      </c>
      <c r="C115" s="25">
        <f>IFERROR('Data Sheet'!B82,0)</f>
        <v>7082.21</v>
      </c>
      <c r="D115" s="25">
        <f>IFERROR('Data Sheet'!C82,0)</f>
        <v>3907.15</v>
      </c>
      <c r="E115" s="25">
        <f>IFERROR('Data Sheet'!D82,0)</f>
        <v>2196.4499999999998</v>
      </c>
      <c r="F115" s="25">
        <f>IFERROR('Data Sheet'!E82,0)</f>
        <v>6554.77</v>
      </c>
      <c r="G115" s="25">
        <f>IFERROR('Data Sheet'!F82,0)</f>
        <v>6170.37</v>
      </c>
      <c r="H115" s="25">
        <f>IFERROR('Data Sheet'!G82,0)</f>
        <v>8984.5400000000009</v>
      </c>
      <c r="I115" s="25">
        <f>IFERROR('Data Sheet'!H82,0)</f>
        <v>4959.33</v>
      </c>
      <c r="J115" s="25">
        <f>IFERROR('Data Sheet'!I82,0)</f>
        <v>12134.98</v>
      </c>
      <c r="K115" s="25">
        <f>IFERROR('Data Sheet'!J82,0)</f>
        <v>14072.09</v>
      </c>
      <c r="L115" s="25">
        <f>IFERROR('Data Sheet'!K82,0)</f>
        <v>12419.18</v>
      </c>
    </row>
    <row r="116" spans="1:13" x14ac:dyDescent="0.3"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3" x14ac:dyDescent="0.3">
      <c r="B117" s="6" t="s">
        <v>32</v>
      </c>
      <c r="C117" s="25">
        <f>IFERROR('Data Sheet'!B83,0)</f>
        <v>-4186.1499999999996</v>
      </c>
      <c r="D117" s="25">
        <f>IFERROR('Data Sheet'!C83,0)</f>
        <v>-3103.8</v>
      </c>
      <c r="E117" s="25">
        <f>IFERROR('Data Sheet'!D83,0)</f>
        <v>-310.08</v>
      </c>
      <c r="F117" s="25">
        <f>IFERROR('Data Sheet'!E83,0)</f>
        <v>-2225.3200000000002</v>
      </c>
      <c r="G117" s="25">
        <f>IFERROR('Data Sheet'!F83,0)</f>
        <v>406.53</v>
      </c>
      <c r="H117" s="25">
        <f>IFERROR('Data Sheet'!G83,0)</f>
        <v>-5555.86</v>
      </c>
      <c r="I117" s="25">
        <f>IFERROR('Data Sheet'!H83,0)</f>
        <v>-7219.92</v>
      </c>
      <c r="J117" s="25">
        <f>IFERROR('Data Sheet'!I83,0)</f>
        <v>-762.9</v>
      </c>
      <c r="K117" s="25">
        <f>IFERROR('Data Sheet'!J83,0)</f>
        <v>-5183.1499999999996</v>
      </c>
      <c r="L117" s="25">
        <f>IFERROR('Data Sheet'!K83,0)</f>
        <v>-11344.05</v>
      </c>
    </row>
    <row r="118" spans="1:13" x14ac:dyDescent="0.3"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3" x14ac:dyDescent="0.3">
      <c r="B119" s="6" t="s">
        <v>33</v>
      </c>
      <c r="C119" s="25">
        <f>IFERROR('Data Sheet'!B84,0)</f>
        <v>-2285.39</v>
      </c>
      <c r="D119" s="25">
        <f>IFERROR('Data Sheet'!C84,0)</f>
        <v>-1539.26</v>
      </c>
      <c r="E119" s="25">
        <f>IFERROR('Data Sheet'!D84,0)</f>
        <v>-2730.52</v>
      </c>
      <c r="F119" s="25">
        <f>IFERROR('Data Sheet'!E84,0)</f>
        <v>-5715.14</v>
      </c>
      <c r="G119" s="25">
        <f>IFERROR('Data Sheet'!F84,0)</f>
        <v>-5980.48</v>
      </c>
      <c r="H119" s="25">
        <f>IFERROR('Data Sheet'!G84,0)</f>
        <v>-5193.46</v>
      </c>
      <c r="I119" s="25">
        <f>IFERROR('Data Sheet'!H84,0)</f>
        <v>2376.0700000000002</v>
      </c>
      <c r="J119" s="25">
        <f>IFERROR('Data Sheet'!I84,0)</f>
        <v>-6710.16</v>
      </c>
      <c r="K119" s="25">
        <f>IFERROR('Data Sheet'!J84,0)</f>
        <v>-7905.82</v>
      </c>
      <c r="L119" s="25">
        <f>IFERROR('Data Sheet'!K84,0)</f>
        <v>-2512.5500000000002</v>
      </c>
    </row>
    <row r="121" spans="1:13" x14ac:dyDescent="0.3">
      <c r="B121" s="28" t="s">
        <v>34</v>
      </c>
      <c r="C121" s="28">
        <f>SUM(C119,C117,C115)</f>
        <v>610.67000000000098</v>
      </c>
      <c r="D121" s="28">
        <f t="shared" ref="D121:L121" si="28">SUM(D119,D117,D115)</f>
        <v>-735.91000000000031</v>
      </c>
      <c r="E121" s="28">
        <f t="shared" si="28"/>
        <v>-844.15000000000009</v>
      </c>
      <c r="F121" s="28">
        <f t="shared" si="28"/>
        <v>-1385.6900000000005</v>
      </c>
      <c r="G121" s="28">
        <f t="shared" si="28"/>
        <v>596.42000000000007</v>
      </c>
      <c r="H121" s="28">
        <f t="shared" si="28"/>
        <v>-1764.7799999999988</v>
      </c>
      <c r="I121" s="28">
        <f t="shared" si="28"/>
        <v>115.47999999999956</v>
      </c>
      <c r="J121" s="28">
        <f t="shared" si="28"/>
        <v>4661.92</v>
      </c>
      <c r="K121" s="28">
        <f t="shared" si="28"/>
        <v>983.1200000000008</v>
      </c>
      <c r="L121" s="28">
        <f t="shared" si="28"/>
        <v>-1437.4199999999983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C15 D15:L15 M3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/>
  </sheetPr>
  <dimension ref="A1:K93"/>
  <sheetViews>
    <sheetView zoomScaleNormal="100" zoomScalePageLayoutView="120" workbookViewId="0">
      <pane xSplit="1" ySplit="1" topLeftCell="B16" activePane="bottomRight" state="frozen"/>
      <selection activeCell="C4" sqref="C4"/>
      <selection pane="topRight" activeCell="C4" sqref="C4"/>
      <selection pane="bottomLeft" activeCell="C4" sqref="C4"/>
      <selection pane="bottomRight" activeCell="B21" sqref="B2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48</v>
      </c>
      <c r="E1" s="170" t="s">
        <v>48</v>
      </c>
      <c r="F1" s="170"/>
      <c r="G1" s="170"/>
      <c r="H1" s="170"/>
      <c r="I1" s="170"/>
      <c r="J1" s="170"/>
      <c r="K1" s="170"/>
    </row>
    <row r="2" spans="1:11" x14ac:dyDescent="0.3">
      <c r="A2" s="1" t="s">
        <v>46</v>
      </c>
      <c r="B2" s="4">
        <v>2.1</v>
      </c>
      <c r="E2" s="171" t="s">
        <v>35</v>
      </c>
      <c r="F2" s="171"/>
      <c r="G2" s="171"/>
      <c r="H2" s="171"/>
      <c r="I2" s="171"/>
      <c r="J2" s="171"/>
      <c r="K2" s="171"/>
    </row>
    <row r="3" spans="1:11" x14ac:dyDescent="0.3">
      <c r="A3" s="1" t="s">
        <v>47</v>
      </c>
      <c r="B3" s="4">
        <v>2.1</v>
      </c>
    </row>
    <row r="4" spans="1:11" x14ac:dyDescent="0.3">
      <c r="A4" s="1"/>
    </row>
    <row r="5" spans="1:11" x14ac:dyDescent="0.3">
      <c r="A5" s="1" t="s">
        <v>49</v>
      </c>
    </row>
    <row r="6" spans="1:11" x14ac:dyDescent="0.3">
      <c r="A6" s="4" t="s">
        <v>41</v>
      </c>
      <c r="B6" s="4">
        <f>IF(B9&gt;0, B9/B8, 0)</f>
        <v>239.96033302601066</v>
      </c>
    </row>
    <row r="7" spans="1:11" x14ac:dyDescent="0.3">
      <c r="A7" s="4" t="s">
        <v>30</v>
      </c>
      <c r="B7">
        <v>1</v>
      </c>
    </row>
    <row r="8" spans="1:11" x14ac:dyDescent="0.3">
      <c r="A8" s="4" t="s">
        <v>42</v>
      </c>
      <c r="B8">
        <v>1789.65</v>
      </c>
    </row>
    <row r="9" spans="1:11" x14ac:dyDescent="0.3">
      <c r="A9" s="4" t="s">
        <v>64</v>
      </c>
      <c r="B9">
        <v>429445.01</v>
      </c>
    </row>
    <row r="15" spans="1:11" x14ac:dyDescent="0.3">
      <c r="A15" s="1" t="s">
        <v>36</v>
      </c>
    </row>
    <row r="16" spans="1:11" s="15" customFormat="1" x14ac:dyDescent="0.3">
      <c r="A16" s="14" t="s">
        <v>37</v>
      </c>
      <c r="B16" s="11">
        <v>42825</v>
      </c>
      <c r="C16" s="11">
        <v>43190</v>
      </c>
      <c r="D16" s="11">
        <v>43555</v>
      </c>
      <c r="E16" s="11">
        <v>43921</v>
      </c>
      <c r="F16" s="11">
        <v>44286</v>
      </c>
      <c r="G16" s="11">
        <v>44651</v>
      </c>
      <c r="H16" s="11">
        <v>45016</v>
      </c>
      <c r="I16" s="11">
        <v>45382</v>
      </c>
      <c r="J16" s="11">
        <v>45747</v>
      </c>
      <c r="K16" s="11">
        <v>46112</v>
      </c>
    </row>
    <row r="17" spans="1:11" s="6" customFormat="1" x14ac:dyDescent="0.3">
      <c r="A17" s="6" t="s">
        <v>6</v>
      </c>
      <c r="B17">
        <v>31578.44</v>
      </c>
      <c r="C17">
        <v>26489.46</v>
      </c>
      <c r="D17">
        <v>29065.91</v>
      </c>
      <c r="E17">
        <v>32837.5</v>
      </c>
      <c r="F17">
        <v>33498.14</v>
      </c>
      <c r="G17">
        <v>38654.49</v>
      </c>
      <c r="H17">
        <v>43885.68</v>
      </c>
      <c r="I17">
        <v>48496.85</v>
      </c>
      <c r="J17">
        <v>52578.44</v>
      </c>
      <c r="K17">
        <v>58462.04</v>
      </c>
    </row>
    <row r="18" spans="1:11" s="6" customFormat="1" x14ac:dyDescent="0.3">
      <c r="A18" s="4" t="s">
        <v>65</v>
      </c>
      <c r="B18">
        <v>8402.3700000000008</v>
      </c>
      <c r="C18">
        <v>7193.98</v>
      </c>
      <c r="D18">
        <v>8302.08</v>
      </c>
      <c r="E18">
        <v>8929.6</v>
      </c>
      <c r="F18">
        <v>9328.2999999999993</v>
      </c>
      <c r="G18">
        <v>10459.15</v>
      </c>
      <c r="H18">
        <v>11349.07</v>
      </c>
      <c r="I18">
        <v>10370.48</v>
      </c>
      <c r="J18">
        <v>10597.05</v>
      </c>
      <c r="K18">
        <v>11200.55</v>
      </c>
    </row>
    <row r="19" spans="1:11" s="6" customFormat="1" x14ac:dyDescent="0.3">
      <c r="A19" s="4" t="s">
        <v>66</v>
      </c>
      <c r="B19">
        <v>271.63</v>
      </c>
      <c r="C19">
        <v>-230.7</v>
      </c>
      <c r="D19">
        <v>433.11</v>
      </c>
      <c r="E19">
        <v>-300.85000000000002</v>
      </c>
      <c r="F19">
        <v>638.22</v>
      </c>
      <c r="G19">
        <v>107.61</v>
      </c>
      <c r="H19">
        <v>686.91</v>
      </c>
      <c r="I19">
        <v>-292.13</v>
      </c>
      <c r="J19">
        <v>-150.31</v>
      </c>
      <c r="K19">
        <v>-343.13</v>
      </c>
    </row>
    <row r="20" spans="1:11" s="6" customFormat="1" x14ac:dyDescent="0.3">
      <c r="A20" s="4" t="s">
        <v>67</v>
      </c>
      <c r="B20">
        <v>525.09</v>
      </c>
      <c r="C20">
        <v>559.97</v>
      </c>
      <c r="D20">
        <v>613.6</v>
      </c>
      <c r="E20">
        <v>621.89</v>
      </c>
      <c r="F20">
        <v>627.09</v>
      </c>
      <c r="G20">
        <v>702.78</v>
      </c>
      <c r="H20">
        <v>830.05</v>
      </c>
      <c r="I20">
        <v>760.78</v>
      </c>
      <c r="J20">
        <v>750.4</v>
      </c>
    </row>
    <row r="21" spans="1:11" s="6" customFormat="1" x14ac:dyDescent="0.3">
      <c r="A21" s="4" t="s">
        <v>68</v>
      </c>
      <c r="B21">
        <v>1973.46</v>
      </c>
      <c r="C21">
        <v>1828.35</v>
      </c>
      <c r="D21">
        <v>1884.71</v>
      </c>
      <c r="E21">
        <v>1690</v>
      </c>
      <c r="F21">
        <v>1723.78</v>
      </c>
      <c r="G21">
        <v>1880.71</v>
      </c>
      <c r="H21">
        <v>1936.77</v>
      </c>
      <c r="I21">
        <v>2186.62</v>
      </c>
      <c r="J21">
        <v>2261.2399999999998</v>
      </c>
    </row>
    <row r="22" spans="1:11" s="6" customFormat="1" x14ac:dyDescent="0.3">
      <c r="A22" s="4" t="s">
        <v>69</v>
      </c>
      <c r="B22">
        <v>4902.3</v>
      </c>
      <c r="C22">
        <v>5367.05</v>
      </c>
      <c r="D22">
        <v>5967.09</v>
      </c>
      <c r="E22">
        <v>6362.35</v>
      </c>
      <c r="F22">
        <v>6862.23</v>
      </c>
      <c r="G22">
        <v>7300.83</v>
      </c>
      <c r="H22">
        <v>8296.0300000000007</v>
      </c>
      <c r="I22">
        <v>9429.06</v>
      </c>
      <c r="J22">
        <v>9973.1200000000008</v>
      </c>
      <c r="K22">
        <v>11418.86</v>
      </c>
    </row>
    <row r="23" spans="1:11" s="6" customFormat="1" x14ac:dyDescent="0.3">
      <c r="A23" s="4" t="s">
        <v>70</v>
      </c>
      <c r="B23">
        <v>5224.6099999999997</v>
      </c>
      <c r="C23">
        <v>4727</v>
      </c>
      <c r="D23">
        <v>5350.33</v>
      </c>
      <c r="E23">
        <v>6995.37</v>
      </c>
      <c r="F23">
        <v>6283.41</v>
      </c>
      <c r="G23">
        <v>7366.88</v>
      </c>
      <c r="H23">
        <v>9482.36</v>
      </c>
      <c r="I23">
        <v>11033.19</v>
      </c>
      <c r="J23">
        <v>12222.92</v>
      </c>
    </row>
    <row r="24" spans="1:11" s="6" customFormat="1" x14ac:dyDescent="0.3">
      <c r="A24" s="4" t="s">
        <v>71</v>
      </c>
      <c r="B24">
        <v>720.22</v>
      </c>
      <c r="C24">
        <v>950.99</v>
      </c>
      <c r="D24">
        <v>1004.23</v>
      </c>
      <c r="E24">
        <v>954.6</v>
      </c>
      <c r="F24">
        <v>841.59</v>
      </c>
      <c r="G24">
        <v>794.18</v>
      </c>
      <c r="H24">
        <v>1027.8699999999999</v>
      </c>
      <c r="I24">
        <v>1406.82</v>
      </c>
      <c r="J24">
        <v>1508.94</v>
      </c>
      <c r="K24">
        <v>17768.099999999999</v>
      </c>
    </row>
    <row r="25" spans="1:11" s="6" customFormat="1" x14ac:dyDescent="0.3">
      <c r="A25" s="6" t="s">
        <v>9</v>
      </c>
      <c r="B25">
        <v>610.4</v>
      </c>
      <c r="C25">
        <v>-135.03</v>
      </c>
      <c r="D25">
        <v>-258.27999999999997</v>
      </c>
      <c r="E25">
        <v>382.26</v>
      </c>
      <c r="F25">
        <v>-3449.21</v>
      </c>
      <c r="G25">
        <v>-3505.16</v>
      </c>
      <c r="H25">
        <v>459.42</v>
      </c>
      <c r="I25">
        <v>865.23</v>
      </c>
      <c r="J25">
        <v>1444.42</v>
      </c>
      <c r="K25">
        <v>664.24</v>
      </c>
    </row>
    <row r="26" spans="1:11" s="6" customFormat="1" x14ac:dyDescent="0.3">
      <c r="A26" s="6" t="s">
        <v>10</v>
      </c>
      <c r="B26">
        <v>1264.75</v>
      </c>
      <c r="C26">
        <v>1499.84</v>
      </c>
      <c r="D26">
        <v>1753.25</v>
      </c>
      <c r="E26">
        <v>2052.7800000000002</v>
      </c>
      <c r="F26">
        <v>2079.9499999999998</v>
      </c>
      <c r="G26">
        <v>2143.7399999999998</v>
      </c>
      <c r="H26">
        <v>2529.4299999999998</v>
      </c>
      <c r="I26">
        <v>2556.64</v>
      </c>
      <c r="J26">
        <v>2575.39</v>
      </c>
      <c r="K26">
        <v>2937.85</v>
      </c>
    </row>
    <row r="27" spans="1:11" s="6" customFormat="1" x14ac:dyDescent="0.3">
      <c r="A27" s="6" t="s">
        <v>11</v>
      </c>
      <c r="B27">
        <v>399.8</v>
      </c>
      <c r="C27">
        <v>517.57000000000005</v>
      </c>
      <c r="D27">
        <v>555.25</v>
      </c>
      <c r="E27">
        <v>302.73</v>
      </c>
      <c r="F27">
        <v>141.43</v>
      </c>
      <c r="G27">
        <v>127.35</v>
      </c>
      <c r="H27">
        <v>172</v>
      </c>
      <c r="I27">
        <v>238.47</v>
      </c>
      <c r="J27">
        <v>231.36</v>
      </c>
      <c r="K27">
        <v>338.91</v>
      </c>
    </row>
    <row r="28" spans="1:11" s="6" customFormat="1" x14ac:dyDescent="0.3">
      <c r="A28" s="6" t="s">
        <v>12</v>
      </c>
      <c r="B28">
        <v>9047.8700000000008</v>
      </c>
      <c r="C28">
        <v>3478.98</v>
      </c>
      <c r="D28">
        <v>3810.2</v>
      </c>
      <c r="E28">
        <v>5009.59</v>
      </c>
      <c r="F28">
        <v>2799.37</v>
      </c>
      <c r="G28">
        <v>4481.32</v>
      </c>
      <c r="H28">
        <v>9408.43</v>
      </c>
      <c r="I28">
        <v>11087.89</v>
      </c>
      <c r="J28">
        <v>13752.13</v>
      </c>
      <c r="K28">
        <v>15118.88</v>
      </c>
    </row>
    <row r="29" spans="1:11" s="6" customFormat="1" x14ac:dyDescent="0.3">
      <c r="A29" s="6" t="s">
        <v>13</v>
      </c>
      <c r="B29">
        <v>1211.57</v>
      </c>
      <c r="C29">
        <v>911.04</v>
      </c>
      <c r="D29">
        <v>600.88</v>
      </c>
      <c r="E29">
        <v>822.8</v>
      </c>
      <c r="F29">
        <v>514.69000000000005</v>
      </c>
      <c r="G29">
        <v>1075.5</v>
      </c>
      <c r="H29">
        <v>847.59</v>
      </c>
      <c r="I29">
        <v>1439.45</v>
      </c>
      <c r="J29">
        <v>2772.03</v>
      </c>
      <c r="K29">
        <v>3554.36</v>
      </c>
    </row>
    <row r="30" spans="1:11" s="6" customFormat="1" x14ac:dyDescent="0.3">
      <c r="A30" s="6" t="s">
        <v>14</v>
      </c>
      <c r="B30">
        <v>6964.37</v>
      </c>
      <c r="C30">
        <v>2095.6999999999998</v>
      </c>
      <c r="D30">
        <v>2665.42</v>
      </c>
      <c r="E30">
        <v>3764.93</v>
      </c>
      <c r="F30">
        <v>2903.82</v>
      </c>
      <c r="G30">
        <v>3272.73</v>
      </c>
      <c r="H30">
        <v>8473.58</v>
      </c>
      <c r="I30">
        <v>9576.3799999999992</v>
      </c>
      <c r="J30">
        <v>10929.04</v>
      </c>
      <c r="K30">
        <v>11479.42</v>
      </c>
    </row>
    <row r="31" spans="1:11" s="6" customFormat="1" x14ac:dyDescent="0.3">
      <c r="A31" s="6" t="s">
        <v>55</v>
      </c>
      <c r="B31">
        <v>839.76</v>
      </c>
      <c r="C31">
        <v>479.86</v>
      </c>
      <c r="D31">
        <v>659.81</v>
      </c>
      <c r="E31">
        <v>959.72</v>
      </c>
      <c r="F31">
        <v>1799.48</v>
      </c>
      <c r="G31">
        <v>2399.3000000000002</v>
      </c>
      <c r="H31">
        <v>2759.2</v>
      </c>
      <c r="I31">
        <v>3239.06</v>
      </c>
      <c r="J31">
        <v>3838.88</v>
      </c>
      <c r="K31">
        <v>3838.88</v>
      </c>
    </row>
    <row r="32" spans="1:11" s="6" customFormat="1" x14ac:dyDescent="0.3">
      <c r="A32" s="6" t="s">
        <v>83</v>
      </c>
      <c r="B32" s="6">
        <f>B30+B27+B26+B29</f>
        <v>9840.49</v>
      </c>
      <c r="C32" s="6">
        <f t="shared" ref="C32:K32" si="0">C30+C27+C26+C29</f>
        <v>5024.1499999999996</v>
      </c>
      <c r="D32" s="6">
        <f t="shared" si="0"/>
        <v>5574.8</v>
      </c>
      <c r="E32" s="6">
        <f t="shared" si="0"/>
        <v>6943.2400000000007</v>
      </c>
      <c r="F32" s="6">
        <f t="shared" si="0"/>
        <v>5639.8899999999994</v>
      </c>
      <c r="G32" s="6">
        <f t="shared" si="0"/>
        <v>6619.32</v>
      </c>
      <c r="H32" s="6">
        <f t="shared" si="0"/>
        <v>12022.6</v>
      </c>
      <c r="I32" s="6">
        <f t="shared" si="0"/>
        <v>13810.939999999999</v>
      </c>
      <c r="J32" s="6">
        <f t="shared" si="0"/>
        <v>16507.82</v>
      </c>
      <c r="K32" s="6">
        <f t="shared" si="0"/>
        <v>18310.54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38</v>
      </c>
    </row>
    <row r="41" spans="1:11" s="15" customFormat="1" x14ac:dyDescent="0.3">
      <c r="A41" s="14" t="s">
        <v>37</v>
      </c>
      <c r="B41" s="11">
        <v>45291</v>
      </c>
      <c r="C41" s="11">
        <v>45382</v>
      </c>
      <c r="D41" s="11">
        <v>45473</v>
      </c>
      <c r="E41" s="11">
        <v>45565</v>
      </c>
      <c r="F41" s="11">
        <v>45657</v>
      </c>
      <c r="G41" s="11">
        <v>45747</v>
      </c>
      <c r="H41" s="11">
        <v>45838</v>
      </c>
      <c r="I41" s="11">
        <v>45930</v>
      </c>
      <c r="J41" s="11">
        <v>46022</v>
      </c>
      <c r="K41" s="11">
        <v>46112</v>
      </c>
    </row>
    <row r="42" spans="1:11" s="6" customFormat="1" x14ac:dyDescent="0.3">
      <c r="A42" s="6" t="s">
        <v>6</v>
      </c>
      <c r="B42">
        <v>12380.7</v>
      </c>
      <c r="C42">
        <v>11982.9</v>
      </c>
      <c r="D42">
        <v>12652.75</v>
      </c>
      <c r="E42">
        <v>13291.39</v>
      </c>
      <c r="F42">
        <v>13675.46</v>
      </c>
      <c r="G42">
        <v>12958.84</v>
      </c>
      <c r="H42">
        <v>13851.4</v>
      </c>
      <c r="I42">
        <v>14478.31</v>
      </c>
      <c r="J42">
        <v>15520.54</v>
      </c>
      <c r="K42">
        <v>14611.79</v>
      </c>
    </row>
    <row r="43" spans="1:11" s="6" customFormat="1" x14ac:dyDescent="0.3">
      <c r="A43" s="6" t="s">
        <v>7</v>
      </c>
      <c r="B43">
        <v>8903.8700000000008</v>
      </c>
      <c r="C43">
        <v>8947.75</v>
      </c>
      <c r="D43">
        <v>9045.1299999999992</v>
      </c>
      <c r="E43">
        <v>9352.43</v>
      </c>
      <c r="F43">
        <v>9666.44</v>
      </c>
      <c r="G43">
        <v>9242.75</v>
      </c>
      <c r="H43">
        <v>9549.74</v>
      </c>
      <c r="I43">
        <v>9951.26</v>
      </c>
      <c r="J43">
        <v>10572.05</v>
      </c>
      <c r="K43">
        <v>10657.59</v>
      </c>
    </row>
    <row r="44" spans="1:11" s="6" customFormat="1" x14ac:dyDescent="0.3">
      <c r="A44" s="6" t="s">
        <v>9</v>
      </c>
      <c r="B44">
        <v>180.39</v>
      </c>
      <c r="C44">
        <v>504.3</v>
      </c>
      <c r="D44">
        <v>532.54999999999995</v>
      </c>
      <c r="E44">
        <v>354</v>
      </c>
      <c r="F44">
        <v>149.44999999999999</v>
      </c>
      <c r="G44">
        <v>251.19</v>
      </c>
      <c r="H44">
        <v>-353.54</v>
      </c>
      <c r="I44">
        <v>469.92</v>
      </c>
      <c r="J44">
        <v>89.36</v>
      </c>
      <c r="K44">
        <v>458.5</v>
      </c>
    </row>
    <row r="45" spans="1:11" s="6" customFormat="1" x14ac:dyDescent="0.3">
      <c r="A45" s="6" t="s">
        <v>10</v>
      </c>
      <c r="B45">
        <v>622.14</v>
      </c>
      <c r="C45">
        <v>650.36</v>
      </c>
      <c r="D45">
        <v>655.13</v>
      </c>
      <c r="E45">
        <v>625.91</v>
      </c>
      <c r="F45">
        <v>630.55999999999995</v>
      </c>
      <c r="G45">
        <v>663.79</v>
      </c>
      <c r="H45">
        <v>700.55</v>
      </c>
      <c r="I45">
        <v>729.5</v>
      </c>
      <c r="J45">
        <v>732.33</v>
      </c>
      <c r="K45">
        <v>775.47</v>
      </c>
    </row>
    <row r="46" spans="1:11" s="6" customFormat="1" x14ac:dyDescent="0.3">
      <c r="A46" s="6" t="s">
        <v>11</v>
      </c>
      <c r="B46">
        <v>34.729999999999997</v>
      </c>
      <c r="C46">
        <v>73.569999999999993</v>
      </c>
      <c r="D46">
        <v>61.54</v>
      </c>
      <c r="E46">
        <v>69.17</v>
      </c>
      <c r="F46">
        <v>51.51</v>
      </c>
      <c r="G46">
        <v>49.14</v>
      </c>
      <c r="H46">
        <v>74.8</v>
      </c>
      <c r="I46">
        <v>99.86</v>
      </c>
      <c r="J46">
        <v>78.36</v>
      </c>
      <c r="K46">
        <v>85.89</v>
      </c>
    </row>
    <row r="47" spans="1:11" s="6" customFormat="1" x14ac:dyDescent="0.3">
      <c r="A47" s="6" t="s">
        <v>12</v>
      </c>
      <c r="B47">
        <v>3000.35</v>
      </c>
      <c r="C47">
        <v>2815.52</v>
      </c>
      <c r="D47">
        <v>3423.5</v>
      </c>
      <c r="E47">
        <v>3597.88</v>
      </c>
      <c r="F47">
        <v>3476.4</v>
      </c>
      <c r="G47">
        <v>3254.35</v>
      </c>
      <c r="H47">
        <v>3172.77</v>
      </c>
      <c r="I47">
        <v>4167.6099999999997</v>
      </c>
      <c r="J47">
        <v>4227.16</v>
      </c>
      <c r="K47">
        <v>3551.34</v>
      </c>
    </row>
    <row r="48" spans="1:11" s="6" customFormat="1" x14ac:dyDescent="0.3">
      <c r="A48" s="6" t="s">
        <v>13</v>
      </c>
      <c r="B48">
        <v>432.32</v>
      </c>
      <c r="C48">
        <v>148.93</v>
      </c>
      <c r="D48">
        <v>552.25</v>
      </c>
      <c r="E48">
        <v>567.21</v>
      </c>
      <c r="F48">
        <v>558.86</v>
      </c>
      <c r="G48">
        <v>1093.71</v>
      </c>
      <c r="H48">
        <v>870.15</v>
      </c>
      <c r="I48">
        <v>1030.52</v>
      </c>
      <c r="J48">
        <v>826.07</v>
      </c>
      <c r="K48">
        <v>827.62</v>
      </c>
    </row>
    <row r="49" spans="1:11" s="6" customFormat="1" x14ac:dyDescent="0.3">
      <c r="A49" s="6" t="s">
        <v>14</v>
      </c>
      <c r="B49">
        <v>2523.75</v>
      </c>
      <c r="C49">
        <v>2654.58</v>
      </c>
      <c r="D49">
        <v>2835.62</v>
      </c>
      <c r="E49">
        <v>3040.16</v>
      </c>
      <c r="F49">
        <v>2903.38</v>
      </c>
      <c r="G49">
        <v>2149.88</v>
      </c>
      <c r="H49">
        <v>2278.63</v>
      </c>
      <c r="I49">
        <v>3117.95</v>
      </c>
      <c r="J49">
        <v>3368.81</v>
      </c>
      <c r="K49">
        <v>2714.03</v>
      </c>
    </row>
    <row r="50" spans="1:11" x14ac:dyDescent="0.3">
      <c r="A50" s="6" t="s">
        <v>8</v>
      </c>
      <c r="B50">
        <v>3476.83</v>
      </c>
      <c r="C50">
        <v>3035.15</v>
      </c>
      <c r="D50">
        <v>3607.62</v>
      </c>
      <c r="E50">
        <v>3938.96</v>
      </c>
      <c r="F50">
        <v>4009.02</v>
      </c>
      <c r="G50">
        <v>3716.09</v>
      </c>
      <c r="H50">
        <v>4301.66</v>
      </c>
      <c r="I50">
        <v>4527.05</v>
      </c>
      <c r="J50">
        <v>4948.49</v>
      </c>
      <c r="K50">
        <v>3954.2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39</v>
      </c>
    </row>
    <row r="56" spans="1:11" s="15" customFormat="1" x14ac:dyDescent="0.3">
      <c r="A56" s="14" t="s">
        <v>37</v>
      </c>
      <c r="B56" s="11">
        <v>42825</v>
      </c>
      <c r="C56" s="11">
        <v>43190</v>
      </c>
      <c r="D56" s="11">
        <v>43555</v>
      </c>
      <c r="E56" s="11">
        <v>43921</v>
      </c>
      <c r="F56" s="11">
        <v>44286</v>
      </c>
      <c r="G56" s="11">
        <v>44651</v>
      </c>
      <c r="H56" s="11">
        <v>45016</v>
      </c>
      <c r="I56" s="11">
        <v>45382</v>
      </c>
      <c r="J56" s="11">
        <v>45747</v>
      </c>
      <c r="K56" s="11">
        <v>46112</v>
      </c>
    </row>
    <row r="57" spans="1:11" x14ac:dyDescent="0.3">
      <c r="A57" s="6" t="s">
        <v>24</v>
      </c>
      <c r="B57">
        <v>239.93</v>
      </c>
      <c r="C57">
        <v>239.93</v>
      </c>
      <c r="D57">
        <v>239.93</v>
      </c>
      <c r="E57">
        <v>239.93</v>
      </c>
      <c r="F57">
        <v>239.93</v>
      </c>
      <c r="G57">
        <v>239.93</v>
      </c>
      <c r="H57">
        <v>239.93</v>
      </c>
      <c r="I57">
        <v>239.93</v>
      </c>
      <c r="J57">
        <v>239.93</v>
      </c>
      <c r="K57">
        <v>239.93</v>
      </c>
    </row>
    <row r="58" spans="1:11" x14ac:dyDescent="0.3">
      <c r="A58" s="6" t="s">
        <v>25</v>
      </c>
      <c r="B58">
        <v>36399.74</v>
      </c>
      <c r="C58">
        <v>38074.18</v>
      </c>
      <c r="D58">
        <v>41169.129999999997</v>
      </c>
      <c r="E58">
        <v>45024.52</v>
      </c>
      <c r="F58">
        <v>46222.85</v>
      </c>
      <c r="G58">
        <v>47771.29</v>
      </c>
      <c r="H58">
        <v>55755.45</v>
      </c>
      <c r="I58">
        <v>63426.82</v>
      </c>
      <c r="J58">
        <v>71978.09</v>
      </c>
      <c r="K58">
        <v>83330.16</v>
      </c>
    </row>
    <row r="59" spans="1:11" x14ac:dyDescent="0.3">
      <c r="A59" s="6" t="s">
        <v>56</v>
      </c>
      <c r="B59">
        <v>9831.77</v>
      </c>
      <c r="C59">
        <v>10385.27</v>
      </c>
      <c r="D59">
        <v>10514.36</v>
      </c>
      <c r="E59">
        <v>8314.8799999999992</v>
      </c>
      <c r="F59">
        <v>3868.58</v>
      </c>
      <c r="G59">
        <v>1290.3</v>
      </c>
      <c r="H59">
        <v>6885.87</v>
      </c>
      <c r="I59">
        <v>3273.67</v>
      </c>
      <c r="J59">
        <v>2362.19</v>
      </c>
      <c r="K59">
        <v>4627.32</v>
      </c>
    </row>
    <row r="60" spans="1:11" x14ac:dyDescent="0.3">
      <c r="A60" s="6" t="s">
        <v>57</v>
      </c>
      <c r="B60">
        <v>14624.01</v>
      </c>
      <c r="C60">
        <v>15598.01</v>
      </c>
      <c r="D60">
        <v>12666.11</v>
      </c>
      <c r="E60">
        <v>14614.99</v>
      </c>
      <c r="F60">
        <v>17290.86</v>
      </c>
      <c r="G60">
        <v>20474.39</v>
      </c>
      <c r="H60">
        <v>17830.650000000001</v>
      </c>
      <c r="I60">
        <v>18387.37</v>
      </c>
      <c r="J60">
        <v>17327.93</v>
      </c>
      <c r="K60">
        <v>20587.810000000001</v>
      </c>
    </row>
    <row r="61" spans="1:11" s="1" customFormat="1" x14ac:dyDescent="0.3">
      <c r="A61" s="1" t="s">
        <v>26</v>
      </c>
      <c r="B61">
        <v>61095.45</v>
      </c>
      <c r="C61">
        <v>64297.39</v>
      </c>
      <c r="D61">
        <v>64589.53</v>
      </c>
      <c r="E61">
        <v>68194.320000000007</v>
      </c>
      <c r="F61">
        <v>67622.22</v>
      </c>
      <c r="G61">
        <v>69775.91</v>
      </c>
      <c r="H61">
        <v>80711.899999999994</v>
      </c>
      <c r="I61">
        <v>85327.79</v>
      </c>
      <c r="J61">
        <v>91908.14</v>
      </c>
      <c r="K61">
        <v>108785.22</v>
      </c>
    </row>
    <row r="62" spans="1:11" x14ac:dyDescent="0.3">
      <c r="A62" s="6" t="s">
        <v>27</v>
      </c>
      <c r="B62">
        <v>17675.169999999998</v>
      </c>
      <c r="C62">
        <v>18852.650000000001</v>
      </c>
      <c r="D62">
        <v>21836.54</v>
      </c>
      <c r="E62">
        <v>22846.91</v>
      </c>
      <c r="F62">
        <v>21552.98</v>
      </c>
      <c r="G62">
        <v>22665.16</v>
      </c>
      <c r="H62">
        <v>24065.439999999999</v>
      </c>
      <c r="I62">
        <v>23248.15</v>
      </c>
      <c r="J62">
        <v>22586.28</v>
      </c>
      <c r="K62">
        <v>34493.35</v>
      </c>
    </row>
    <row r="63" spans="1:11" x14ac:dyDescent="0.3">
      <c r="A63" s="6" t="s">
        <v>28</v>
      </c>
      <c r="B63">
        <v>2801.38</v>
      </c>
      <c r="C63">
        <v>2465.16</v>
      </c>
      <c r="D63">
        <v>1411.15</v>
      </c>
      <c r="E63">
        <v>1220.3399999999999</v>
      </c>
      <c r="F63">
        <v>1566.83</v>
      </c>
      <c r="G63">
        <v>1286.8</v>
      </c>
      <c r="H63">
        <v>4973.16</v>
      </c>
      <c r="I63">
        <v>5353.88</v>
      </c>
      <c r="J63">
        <v>6643.96</v>
      </c>
      <c r="K63">
        <v>1380.65</v>
      </c>
    </row>
    <row r="64" spans="1:11" x14ac:dyDescent="0.3">
      <c r="A64" s="6" t="s">
        <v>29</v>
      </c>
      <c r="B64">
        <v>1191.8800000000001</v>
      </c>
      <c r="C64">
        <v>7142.87</v>
      </c>
      <c r="D64">
        <v>7902.53</v>
      </c>
      <c r="E64">
        <v>10143.11</v>
      </c>
      <c r="F64">
        <v>9612.4500000000007</v>
      </c>
      <c r="G64">
        <v>12848.59</v>
      </c>
      <c r="H64">
        <v>14824.34</v>
      </c>
      <c r="I64">
        <v>15025.77</v>
      </c>
      <c r="J64">
        <v>18353.8</v>
      </c>
      <c r="K64">
        <v>24722.52</v>
      </c>
    </row>
    <row r="65" spans="1:11" x14ac:dyDescent="0.3">
      <c r="A65" s="6" t="s">
        <v>58</v>
      </c>
      <c r="B65">
        <v>39427.019999999997</v>
      </c>
      <c r="C65">
        <v>35836.71</v>
      </c>
      <c r="D65">
        <v>33439.31</v>
      </c>
      <c r="E65">
        <v>33983.96</v>
      </c>
      <c r="F65">
        <v>34889.96</v>
      </c>
      <c r="G65">
        <v>32975.360000000001</v>
      </c>
      <c r="H65">
        <v>36848.959999999999</v>
      </c>
      <c r="I65">
        <v>41699.99</v>
      </c>
      <c r="J65">
        <v>44324.1</v>
      </c>
      <c r="K65">
        <v>48188.7</v>
      </c>
    </row>
    <row r="66" spans="1:11" s="1" customFormat="1" x14ac:dyDescent="0.3">
      <c r="A66" s="1" t="s">
        <v>26</v>
      </c>
      <c r="B66">
        <v>61095.45</v>
      </c>
      <c r="C66">
        <v>64297.39</v>
      </c>
      <c r="D66">
        <v>64589.53</v>
      </c>
      <c r="E66">
        <v>68194.320000000007</v>
      </c>
      <c r="F66">
        <v>67622.22</v>
      </c>
      <c r="G66">
        <v>69775.91</v>
      </c>
      <c r="H66">
        <v>80711.899999999994</v>
      </c>
      <c r="I66">
        <v>85327.79</v>
      </c>
      <c r="J66">
        <v>91908.14</v>
      </c>
      <c r="K66">
        <v>108785.22</v>
      </c>
    </row>
    <row r="67" spans="1:11" s="6" customFormat="1" x14ac:dyDescent="0.3">
      <c r="A67" s="6" t="s">
        <v>63</v>
      </c>
      <c r="B67">
        <v>7202.61</v>
      </c>
      <c r="C67">
        <v>7815.28</v>
      </c>
      <c r="D67">
        <v>8884.2000000000007</v>
      </c>
      <c r="E67">
        <v>9421.24</v>
      </c>
      <c r="F67">
        <v>9061.4</v>
      </c>
      <c r="G67">
        <v>10484.59</v>
      </c>
      <c r="H67">
        <v>11438.51</v>
      </c>
      <c r="I67">
        <v>11249.37</v>
      </c>
      <c r="J67">
        <v>13046.11</v>
      </c>
      <c r="K67">
        <v>15509.67</v>
      </c>
    </row>
    <row r="68" spans="1:11" x14ac:dyDescent="0.3">
      <c r="A68" s="6" t="s">
        <v>43</v>
      </c>
      <c r="B68">
        <v>6832.81</v>
      </c>
      <c r="C68">
        <v>6880.69</v>
      </c>
      <c r="D68">
        <v>7885.98</v>
      </c>
      <c r="E68">
        <v>7874.99</v>
      </c>
      <c r="F68">
        <v>8997.02</v>
      </c>
      <c r="G68">
        <v>8925.1299999999992</v>
      </c>
      <c r="H68">
        <v>10513.05</v>
      </c>
      <c r="I68">
        <v>9868.2900000000009</v>
      </c>
      <c r="J68">
        <v>10243.33</v>
      </c>
      <c r="K68">
        <v>11492.93</v>
      </c>
    </row>
    <row r="69" spans="1:11" x14ac:dyDescent="0.3">
      <c r="A69" s="4" t="s">
        <v>72</v>
      </c>
      <c r="B69">
        <v>15140.84</v>
      </c>
      <c r="C69">
        <v>9929.3799999999992</v>
      </c>
      <c r="D69">
        <v>7275.6</v>
      </c>
      <c r="E69">
        <v>6487.55</v>
      </c>
      <c r="F69">
        <v>6445.51</v>
      </c>
      <c r="G69">
        <v>5033.3500000000004</v>
      </c>
      <c r="H69">
        <v>5770.29</v>
      </c>
      <c r="I69">
        <v>10520.68</v>
      </c>
      <c r="J69">
        <v>11331.62</v>
      </c>
      <c r="K69">
        <v>11603.08</v>
      </c>
    </row>
    <row r="70" spans="1:11" x14ac:dyDescent="0.3">
      <c r="A70" s="4" t="s">
        <v>59</v>
      </c>
      <c r="B70">
        <v>2399260815</v>
      </c>
      <c r="C70">
        <v>2399260815</v>
      </c>
      <c r="D70">
        <v>2399334970</v>
      </c>
      <c r="E70">
        <v>2399334970</v>
      </c>
      <c r="F70">
        <v>2399334970</v>
      </c>
      <c r="G70">
        <v>2399334970</v>
      </c>
      <c r="H70">
        <v>2399334970</v>
      </c>
      <c r="I70">
        <v>2399334970</v>
      </c>
      <c r="J70">
        <v>2399334970</v>
      </c>
    </row>
    <row r="71" spans="1:11" x14ac:dyDescent="0.3">
      <c r="A71" s="4" t="s">
        <v>60</v>
      </c>
    </row>
    <row r="72" spans="1:11" x14ac:dyDescent="0.3">
      <c r="A72" s="4" t="s">
        <v>73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 t="s">
        <v>58</v>
      </c>
      <c r="B74" s="4">
        <f>B65-SUM(B67:B69)</f>
        <v>10250.759999999995</v>
      </c>
      <c r="C74" s="4">
        <f t="shared" ref="C74:K74" si="1">C65-SUM(C67:C69)</f>
        <v>11211.36</v>
      </c>
      <c r="D74" s="4">
        <f t="shared" si="1"/>
        <v>9393.5299999999988</v>
      </c>
      <c r="E74" s="4">
        <f t="shared" si="1"/>
        <v>10200.18</v>
      </c>
      <c r="F74" s="4">
        <f t="shared" si="1"/>
        <v>10386.029999999999</v>
      </c>
      <c r="G74" s="4">
        <f t="shared" si="1"/>
        <v>8532.2900000000009</v>
      </c>
      <c r="H74" s="4">
        <f t="shared" si="1"/>
        <v>9127.11</v>
      </c>
      <c r="I74" s="4">
        <f t="shared" si="1"/>
        <v>10061.649999999994</v>
      </c>
      <c r="J74" s="4">
        <f t="shared" si="1"/>
        <v>9703.0399999999936</v>
      </c>
      <c r="K74" s="4">
        <f t="shared" si="1"/>
        <v>9583.0199999999968</v>
      </c>
    </row>
    <row r="75" spans="1:11" x14ac:dyDescent="0.3">
      <c r="A75" s="6" t="s">
        <v>102</v>
      </c>
      <c r="B75" s="4">
        <f>B61</f>
        <v>61095.45</v>
      </c>
      <c r="C75" s="4">
        <f t="shared" ref="C75:K75" si="2">C61</f>
        <v>64297.39</v>
      </c>
      <c r="D75" s="4">
        <f t="shared" si="2"/>
        <v>64589.53</v>
      </c>
      <c r="E75" s="4">
        <f t="shared" si="2"/>
        <v>68194.320000000007</v>
      </c>
      <c r="F75" s="4">
        <f t="shared" si="2"/>
        <v>67622.22</v>
      </c>
      <c r="G75" s="4">
        <f t="shared" si="2"/>
        <v>69775.91</v>
      </c>
      <c r="H75" s="4">
        <f t="shared" si="2"/>
        <v>80711.899999999994</v>
      </c>
      <c r="I75" s="4">
        <f t="shared" si="2"/>
        <v>85327.79</v>
      </c>
      <c r="J75" s="4">
        <f t="shared" si="2"/>
        <v>91908.14</v>
      </c>
      <c r="K75" s="4">
        <f t="shared" si="2"/>
        <v>108785.22</v>
      </c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40</v>
      </c>
    </row>
    <row r="81" spans="1:11" s="15" customFormat="1" x14ac:dyDescent="0.3">
      <c r="A81" s="14" t="s">
        <v>37</v>
      </c>
      <c r="B81" s="11">
        <v>42825</v>
      </c>
      <c r="C81" s="11">
        <v>43190</v>
      </c>
      <c r="D81" s="11">
        <v>43555</v>
      </c>
      <c r="E81" s="11">
        <v>43921</v>
      </c>
      <c r="F81" s="11">
        <v>44286</v>
      </c>
      <c r="G81" s="11">
        <v>44651</v>
      </c>
      <c r="H81" s="11">
        <v>45016</v>
      </c>
      <c r="I81" s="11">
        <v>45382</v>
      </c>
      <c r="J81" s="11">
        <v>45747</v>
      </c>
      <c r="K81" s="11">
        <v>46112</v>
      </c>
    </row>
    <row r="82" spans="1:11" s="1" customFormat="1" x14ac:dyDescent="0.3">
      <c r="A82" s="6" t="s">
        <v>31</v>
      </c>
      <c r="B82">
        <v>7082.21</v>
      </c>
      <c r="C82">
        <v>3907.15</v>
      </c>
      <c r="D82">
        <v>2196.4499999999998</v>
      </c>
      <c r="E82">
        <v>6554.77</v>
      </c>
      <c r="F82">
        <v>6170.37</v>
      </c>
      <c r="G82">
        <v>8984.5400000000009</v>
      </c>
      <c r="H82">
        <v>4959.33</v>
      </c>
      <c r="I82">
        <v>12134.98</v>
      </c>
      <c r="J82">
        <v>14072.09</v>
      </c>
      <c r="K82">
        <v>12419.18</v>
      </c>
    </row>
    <row r="83" spans="1:11" s="6" customFormat="1" x14ac:dyDescent="0.3">
      <c r="A83" s="6" t="s">
        <v>32</v>
      </c>
      <c r="B83">
        <v>-4186.1499999999996</v>
      </c>
      <c r="C83">
        <v>-3103.8</v>
      </c>
      <c r="D83">
        <v>-310.08</v>
      </c>
      <c r="E83">
        <v>-2225.3200000000002</v>
      </c>
      <c r="F83">
        <v>406.53</v>
      </c>
      <c r="G83">
        <v>-5555.86</v>
      </c>
      <c r="H83">
        <v>-7219.92</v>
      </c>
      <c r="I83">
        <v>-762.9</v>
      </c>
      <c r="J83">
        <v>-5183.1499999999996</v>
      </c>
      <c r="K83">
        <v>-11344.05</v>
      </c>
    </row>
    <row r="84" spans="1:11" s="6" customFormat="1" x14ac:dyDescent="0.3">
      <c r="A84" s="6" t="s">
        <v>33</v>
      </c>
      <c r="B84">
        <v>-2285.39</v>
      </c>
      <c r="C84">
        <v>-1539.26</v>
      </c>
      <c r="D84">
        <v>-2730.52</v>
      </c>
      <c r="E84">
        <v>-5715.14</v>
      </c>
      <c r="F84">
        <v>-5980.48</v>
      </c>
      <c r="G84">
        <v>-5193.46</v>
      </c>
      <c r="H84">
        <v>2376.0700000000002</v>
      </c>
      <c r="I84">
        <v>-6710.16</v>
      </c>
      <c r="J84">
        <v>-7905.82</v>
      </c>
      <c r="K84">
        <v>-2512.5500000000002</v>
      </c>
    </row>
    <row r="85" spans="1:11" s="1" customFormat="1" x14ac:dyDescent="0.3">
      <c r="A85" s="6" t="s">
        <v>34</v>
      </c>
      <c r="B85">
        <v>610.66999999999996</v>
      </c>
      <c r="C85">
        <v>-735.91</v>
      </c>
      <c r="D85">
        <v>-844.15</v>
      </c>
      <c r="E85">
        <v>-1385.69</v>
      </c>
      <c r="F85">
        <v>596.41999999999996</v>
      </c>
      <c r="G85">
        <v>-1764.78</v>
      </c>
      <c r="H85">
        <v>115.48</v>
      </c>
      <c r="I85">
        <v>4661.92</v>
      </c>
      <c r="J85">
        <v>983.12</v>
      </c>
      <c r="K85">
        <v>-1437.42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62</v>
      </c>
      <c r="B90">
        <v>688.15</v>
      </c>
      <c r="C90">
        <v>495.1</v>
      </c>
      <c r="D90">
        <v>478.85</v>
      </c>
      <c r="E90">
        <v>352.3</v>
      </c>
      <c r="F90">
        <v>597.79999999999995</v>
      </c>
      <c r="G90">
        <v>914.75</v>
      </c>
      <c r="H90">
        <v>983.1</v>
      </c>
      <c r="I90">
        <v>1620.55</v>
      </c>
      <c r="J90">
        <v>1734.7</v>
      </c>
      <c r="K90">
        <v>1757.2</v>
      </c>
    </row>
    <row r="92" spans="1:11" s="1" customFormat="1" x14ac:dyDescent="0.3">
      <c r="A92" s="1" t="s">
        <v>61</v>
      </c>
    </row>
    <row r="93" spans="1:11" x14ac:dyDescent="0.3">
      <c r="A93" s="4" t="s">
        <v>74</v>
      </c>
      <c r="B93" s="16">
        <v>239.93</v>
      </c>
      <c r="C93" s="16">
        <v>239.93</v>
      </c>
      <c r="D93" s="16">
        <v>239.93</v>
      </c>
      <c r="E93" s="16">
        <v>239.93</v>
      </c>
      <c r="F93" s="16">
        <v>239.93</v>
      </c>
      <c r="G93" s="16">
        <v>239.93</v>
      </c>
      <c r="H93" s="16">
        <v>239.93</v>
      </c>
      <c r="I93" s="16">
        <v>239.93</v>
      </c>
      <c r="J93" s="16">
        <v>239.93</v>
      </c>
      <c r="K93" s="16">
        <v>239.93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D409-270A-4703-A5DB-9042838CE395}">
  <sheetPr>
    <tabColor theme="9" tint="0.59999389629810485"/>
  </sheetPr>
  <dimension ref="B2:R41"/>
  <sheetViews>
    <sheetView showGridLines="0" zoomScaleNormal="100" workbookViewId="0">
      <pane ySplit="3" topLeftCell="A4" activePane="bottomLeft" state="frozen"/>
      <selection pane="bottomLeft" activeCell="P11" sqref="P11"/>
    </sheetView>
  </sheetViews>
  <sheetFormatPr defaultRowHeight="14.4" x14ac:dyDescent="0.3"/>
  <cols>
    <col min="1" max="1" width="2.33203125" customWidth="1"/>
    <col min="2" max="2" width="20.44140625" bestFit="1" customWidth="1"/>
    <col min="3" max="4" width="9" bestFit="1" customWidth="1"/>
    <col min="5" max="5" width="8.6640625" bestFit="1" customWidth="1"/>
    <col min="6" max="7" width="9" bestFit="1" customWidth="1"/>
    <col min="8" max="8" width="9.6640625" bestFit="1" customWidth="1"/>
    <col min="9" max="9" width="9" bestFit="1" customWidth="1"/>
    <col min="10" max="10" width="8.6640625" bestFit="1" customWidth="1"/>
    <col min="11" max="12" width="9" bestFit="1" customWidth="1"/>
    <col min="13" max="13" width="16.44140625" customWidth="1"/>
    <col min="14" max="14" width="15.33203125" customWidth="1"/>
    <col min="15" max="15" width="9.21875" customWidth="1"/>
  </cols>
  <sheetData>
    <row r="2" spans="2:18" x14ac:dyDescent="0.3">
      <c r="B2" s="169" t="str">
        <f>"Ratio Analysis - "&amp;UPDATE</f>
        <v>Ratio Analysis - SUN PHARMACEUTICAL INDUSTRIES LTD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3" spans="2:18" x14ac:dyDescent="0.3">
      <c r="B3" s="17" t="s">
        <v>75</v>
      </c>
      <c r="C3" s="18">
        <f>'Data Sheet'!B16</f>
        <v>42825</v>
      </c>
      <c r="D3" s="18">
        <f>'Data Sheet'!C16</f>
        <v>43190</v>
      </c>
      <c r="E3" s="18">
        <f>'Data Sheet'!D16</f>
        <v>43555</v>
      </c>
      <c r="F3" s="18">
        <f>'Data Sheet'!E16</f>
        <v>43921</v>
      </c>
      <c r="G3" s="18">
        <f>'Data Sheet'!F16</f>
        <v>44286</v>
      </c>
      <c r="H3" s="18">
        <f>'Data Sheet'!G16</f>
        <v>44651</v>
      </c>
      <c r="I3" s="18">
        <f>'Data Sheet'!H16</f>
        <v>45016</v>
      </c>
      <c r="J3" s="18">
        <f>'Data Sheet'!I16</f>
        <v>45382</v>
      </c>
      <c r="K3" s="18">
        <f>'Data Sheet'!J16</f>
        <v>45747</v>
      </c>
      <c r="L3" s="18">
        <f>'Data Sheet'!K16</f>
        <v>46112</v>
      </c>
      <c r="M3" s="19" t="s">
        <v>179</v>
      </c>
      <c r="N3" s="19" t="s">
        <v>177</v>
      </c>
      <c r="O3" s="18" t="s">
        <v>178</v>
      </c>
    </row>
    <row r="5" spans="2:18" x14ac:dyDescent="0.3">
      <c r="B5" s="41" t="s">
        <v>144</v>
      </c>
      <c r="C5" s="41"/>
      <c r="D5" s="42">
        <f>IFERROR(HistoricalFS!D7,0)</f>
        <v>-0.16115362253486876</v>
      </c>
      <c r="E5" s="42">
        <f>IFERROR(HistoricalFS!E7,0)</f>
        <v>9.7263213368637969E-2</v>
      </c>
      <c r="F5" s="42">
        <f>IFERROR(HistoricalFS!F7,0)</f>
        <v>0.12975991462163061</v>
      </c>
      <c r="G5" s="42">
        <f>IFERROR(HistoricalFS!G7,0)</f>
        <v>2.0118462124095959E-2</v>
      </c>
      <c r="H5" s="42">
        <f>IFERROR(HistoricalFS!H7,0)</f>
        <v>0.15392944205260339</v>
      </c>
      <c r="I5" s="42">
        <f>IFERROR(HistoricalFS!I7,0)</f>
        <v>0.1353320144697292</v>
      </c>
      <c r="J5" s="42">
        <f>IFERROR(HistoricalFS!J7,0)</f>
        <v>0.10507231516066295</v>
      </c>
      <c r="K5" s="42">
        <f>IFERROR(HistoricalFS!K7,0)</f>
        <v>8.4161961034582733E-2</v>
      </c>
      <c r="L5" s="42">
        <f>IFERROR(HistoricalFS!L7,0)</f>
        <v>0.11190138010941353</v>
      </c>
      <c r="M5" s="41"/>
      <c r="N5" s="42">
        <f>IFERROR(AVERAGE(D5:L5),0)</f>
        <v>7.5153897822943072E-2</v>
      </c>
      <c r="O5" s="74">
        <f>IFERROR(MEDIAN(C5:L5),0)</f>
        <v>0.10507231516066295</v>
      </c>
    </row>
    <row r="6" spans="2:18" x14ac:dyDescent="0.3">
      <c r="B6" t="s">
        <v>145</v>
      </c>
      <c r="D6" s="43">
        <f>IFERROR(HistoricalFS!D18/HistoricalFS!C18-1,0)</f>
        <v>-0.44254515433546937</v>
      </c>
      <c r="E6" s="43">
        <f>IFERROR(HistoricalFS!E18/HistoricalFS!D18-1,0)</f>
        <v>0.13239289557518386</v>
      </c>
      <c r="F6" s="43">
        <f>IFERROR(HistoricalFS!F18/HistoricalFS!E18-1,0)</f>
        <v>9.5007354578499514E-2</v>
      </c>
      <c r="G6" s="43">
        <f>IFERROR(HistoricalFS!G18/HistoricalFS!F18-1,0)</f>
        <v>0.21296778960995777</v>
      </c>
      <c r="H6" s="43">
        <f>IFERROR(HistoricalFS!H18/HistoricalFS!G18-1,0)</f>
        <v>0.21105294476006931</v>
      </c>
      <c r="I6" s="43">
        <f>IFERROR(HistoricalFS!I18/HistoricalFS!H18-1,0)</f>
        <v>0.13578947060561197</v>
      </c>
      <c r="J6" s="43">
        <f>IFERROR(HistoricalFS!J18/HistoricalFS!I18-1,0)</f>
        <v>0.11736294938216862</v>
      </c>
      <c r="K6" s="43">
        <f>IFERROR(HistoricalFS!K18/HistoricalFS!J18-1,0)</f>
        <v>0.16106368448666775</v>
      </c>
      <c r="L6" s="43">
        <f>IFERROR(HistoricalFS!L18/HistoricalFS!K18-1,0)</f>
        <v>0.17314148173338628</v>
      </c>
      <c r="N6" s="43">
        <f t="shared" ref="N6:N9" si="0">IFERROR(AVERAGE(D6:L6),0)</f>
        <v>8.847037959956397E-2</v>
      </c>
      <c r="O6" s="43">
        <f t="shared" ref="O6:O41" si="1">IFERROR(MEDIAN(C6:L6),0)</f>
        <v>0.13578947060561197</v>
      </c>
      <c r="R6" s="32"/>
    </row>
    <row r="7" spans="2:18" x14ac:dyDescent="0.3">
      <c r="B7" t="s">
        <v>148</v>
      </c>
      <c r="D7" s="43">
        <f>IFERROR(HistoricalFS!D32/HistoricalFS!C32-1,0)</f>
        <v>-0.61549182293733207</v>
      </c>
      <c r="E7" s="43">
        <f>IFERROR(HistoricalFS!E32/HistoricalFS!D32-1,0)</f>
        <v>9.5206066145824719E-2</v>
      </c>
      <c r="F7" s="43">
        <f>IFERROR(HistoricalFS!F32/HistoricalFS!E32-1,0)</f>
        <v>0.31478400083985036</v>
      </c>
      <c r="G7" s="43">
        <f>IFERROR(HistoricalFS!G32/HistoricalFS!F32-1,0)</f>
        <v>-0.44119778265287202</v>
      </c>
      <c r="H7" s="43">
        <f>IFERROR(HistoricalFS!H32/HistoricalFS!G32-1,0)</f>
        <v>0.60083161568495691</v>
      </c>
      <c r="I7" s="43">
        <f>IFERROR(HistoricalFS!I32/HistoricalFS!H32-1,0)</f>
        <v>1.0994773861273042</v>
      </c>
      <c r="J7" s="43">
        <f>IFERROR(HistoricalFS!J32/HistoricalFS!I32-1,0)</f>
        <v>0.1785058718617234</v>
      </c>
      <c r="K7" s="43">
        <f>IFERROR(HistoricalFS!K32/HistoricalFS!J32-1,0)</f>
        <v>0.24028376904893611</v>
      </c>
      <c r="L7" s="43">
        <f>IFERROR(HistoricalFS!L32/HistoricalFS!K32-1,0)</f>
        <v>9.93846044212785E-2</v>
      </c>
      <c r="N7" s="43">
        <f t="shared" si="0"/>
        <v>0.17464263428218554</v>
      </c>
      <c r="O7" s="43">
        <f t="shared" si="1"/>
        <v>0.1785058718617234</v>
      </c>
    </row>
    <row r="8" spans="2:18" x14ac:dyDescent="0.3">
      <c r="B8" t="s">
        <v>146</v>
      </c>
      <c r="D8" s="43">
        <f>IFERROR(HistoricalFS!D38/HistoricalFS!C38-1,0)</f>
        <v>-0.67230197925041146</v>
      </c>
      <c r="E8" s="43">
        <f>IFERROR(HistoricalFS!E38/HistoricalFS!D38-1,0)</f>
        <v>0.24976440259507671</v>
      </c>
      <c r="F8" s="43">
        <f>IFERROR(HistoricalFS!F38/HistoricalFS!E38-1,0)</f>
        <v>0.30457230815250513</v>
      </c>
      <c r="G8" s="43">
        <f>IFERROR(HistoricalFS!G38/HistoricalFS!F38-1,0)</f>
        <v>-0.45431225354030202</v>
      </c>
      <c r="H8" s="43">
        <f>IFERROR(HistoricalFS!H38/HistoricalFS!G38-1,0)</f>
        <v>0.49072080116252503</v>
      </c>
      <c r="I8" s="43">
        <f>IFERROR(HistoricalFS!I38/HistoricalFS!H38-1,0)</f>
        <v>1.5135914405341482</v>
      </c>
      <c r="J8" s="43">
        <f>IFERROR(HistoricalFS!J38/HistoricalFS!I38-1,0)</f>
        <v>0.12704360787025482</v>
      </c>
      <c r="K8" s="43">
        <f>IFERROR(HistoricalFS!K38/HistoricalFS!J38-1,0)</f>
        <v>0.13801816666735833</v>
      </c>
      <c r="L8" s="43">
        <f>IFERROR(HistoricalFS!L38/HistoricalFS!K38-1,0)</f>
        <v>5.3225380461015659E-2</v>
      </c>
      <c r="N8" s="43">
        <f t="shared" si="0"/>
        <v>0.1944802082946856</v>
      </c>
      <c r="O8" s="43">
        <f t="shared" si="1"/>
        <v>0.13801816666735833</v>
      </c>
    </row>
    <row r="9" spans="2:18" x14ac:dyDescent="0.3">
      <c r="B9" s="44" t="s">
        <v>147</v>
      </c>
      <c r="C9" s="44"/>
      <c r="D9" s="45">
        <f>IFERROR(HistoricalFS!D46/HistoricalFS!C46-1,0)</f>
        <v>-0.42857483090406778</v>
      </c>
      <c r="E9" s="45">
        <f>IFERROR(HistoricalFS!E46/HistoricalFS!D46-1,0)</f>
        <v>0.37500520985287356</v>
      </c>
      <c r="F9" s="45">
        <f>IFERROR(HistoricalFS!F46/HistoricalFS!E46-1,0)</f>
        <v>0.45453994331701564</v>
      </c>
      <c r="G9" s="45">
        <f>IFERROR(HistoricalFS!G46/HistoricalFS!F46-1,0)</f>
        <v>0.87500520985287378</v>
      </c>
      <c r="H9" s="45">
        <f>IFERROR(HistoricalFS!H46/HistoricalFS!G46-1,0)</f>
        <v>0.33332962855936166</v>
      </c>
      <c r="I9" s="45">
        <f>IFERROR(HistoricalFS!I46/HistoricalFS!H46-1,0)</f>
        <v>0.15000208394114933</v>
      </c>
      <c r="J9" s="45">
        <f>IFERROR(HistoricalFS!J46/HistoricalFS!I46-1,0)</f>
        <v>0.1739127283270514</v>
      </c>
      <c r="K9" s="45">
        <f>IFERROR(HistoricalFS!K46/HistoricalFS!J46-1,0)</f>
        <v>0.18518335566491517</v>
      </c>
      <c r="L9" s="45">
        <f>IFERROR(HistoricalFS!L46/HistoricalFS!K46-1,0)</f>
        <v>0</v>
      </c>
      <c r="M9" s="44"/>
      <c r="N9" s="45">
        <f t="shared" si="0"/>
        <v>0.23537814762346365</v>
      </c>
      <c r="O9" s="73">
        <f t="shared" si="1"/>
        <v>0.18518335566491517</v>
      </c>
    </row>
    <row r="11" spans="2:18" x14ac:dyDescent="0.3">
      <c r="B11" s="41" t="s">
        <v>88</v>
      </c>
      <c r="C11" s="42">
        <f>IFERROR(HistoricalFS!C13,0)</f>
        <v>0.50815841441185816</v>
      </c>
      <c r="D11" s="42">
        <f>IFERROR(HistoricalFS!D13,0)</f>
        <v>0.42693999802185473</v>
      </c>
      <c r="E11" s="42">
        <f>IFERROR(HistoricalFS!E13,0)</f>
        <v>0.4380230999132661</v>
      </c>
      <c r="F11" s="42">
        <f>IFERROR(HistoricalFS!F13,0)</f>
        <v>0.45474868671488394</v>
      </c>
      <c r="G11" s="42">
        <f>IFERROR(HistoricalFS!G13,0)</f>
        <v>0.46554704231339411</v>
      </c>
      <c r="H11" s="42">
        <f>IFERROR(HistoricalFS!H13,0)</f>
        <v>0.4764939338224356</v>
      </c>
      <c r="I11" s="42">
        <f>IFERROR(HistoricalFS!I13,0)</f>
        <v>0.50496357809654546</v>
      </c>
      <c r="J11" s="42">
        <f>IFERROR(HistoricalFS!J13,0)</f>
        <v>0.52493677424410035</v>
      </c>
      <c r="K11" s="42">
        <f>IFERROR(HistoricalFS!K13,0)</f>
        <v>0.54863400283462194</v>
      </c>
      <c r="L11" s="42">
        <f>IFERROR(HistoricalFS!L13,0)</f>
        <v>0.60722308013883874</v>
      </c>
      <c r="M11" s="53"/>
      <c r="N11" s="42">
        <f>IFERROR(AVERAGE(C11:L11),0)</f>
        <v>0.49556686105117997</v>
      </c>
      <c r="O11" s="42">
        <f t="shared" si="1"/>
        <v>0.4907287559594905</v>
      </c>
    </row>
    <row r="12" spans="2:18" x14ac:dyDescent="0.3">
      <c r="B12" t="s">
        <v>149</v>
      </c>
      <c r="C12" s="43">
        <f>IFERROR(HistoricalFS!C19,0)</f>
        <v>0.31990243976586547</v>
      </c>
      <c r="D12" s="43">
        <f>IFERROR(HistoricalFS!D19,0)</f>
        <v>0.21259097014435177</v>
      </c>
      <c r="E12" s="43">
        <f>IFERROR(HistoricalFS!E19,0)</f>
        <v>0.21939722513418644</v>
      </c>
      <c r="F12" s="43">
        <f>IFERROR(HistoricalFS!F19,0)</f>
        <v>0.21264834411876668</v>
      </c>
      <c r="G12" s="43">
        <f>IFERROR(HistoricalFS!G19,0)</f>
        <v>0.25284866562740499</v>
      </c>
      <c r="H12" s="43">
        <f>IFERROR(HistoricalFS!H19,0)</f>
        <v>0.26536555003053969</v>
      </c>
      <c r="I12" s="43">
        <f>IFERROR(HistoricalFS!I19,0)</f>
        <v>0.26547247302536958</v>
      </c>
      <c r="J12" s="43">
        <f>IFERROR(HistoricalFS!J19,0)</f>
        <v>0.26842506265870869</v>
      </c>
      <c r="K12" s="43">
        <f>IFERROR(HistoricalFS!K19,0)</f>
        <v>0.28746497613850852</v>
      </c>
      <c r="L12" s="43">
        <f>IFERROR(HistoricalFS!L19,0)</f>
        <v>0.30329766118322249</v>
      </c>
      <c r="N12" s="43">
        <f t="shared" ref="N12:N31" si="2">IFERROR(AVERAGE(C12:L12),0)</f>
        <v>0.2607413367826924</v>
      </c>
      <c r="O12" s="43">
        <f t="shared" si="1"/>
        <v>0.26541901152795466</v>
      </c>
    </row>
    <row r="13" spans="2:18" x14ac:dyDescent="0.3">
      <c r="B13" t="s">
        <v>150</v>
      </c>
      <c r="C13" s="46">
        <f>IFERROR((HistoricalFS!C18-HistoricalFS!C26)/HistoricalFS!C6,0)</f>
        <v>0.27985137961216566</v>
      </c>
      <c r="D13" s="43">
        <f>IFERROR((HistoricalFS!D18-HistoricalFS!D26)/HistoricalFS!D6,0)</f>
        <v>0.15597071438979881</v>
      </c>
      <c r="E13" s="43">
        <f>IFERROR((HistoricalFS!E18-HistoricalFS!E26)/HistoricalFS!E6,0)</f>
        <v>0.15907742093744875</v>
      </c>
      <c r="F13" s="43">
        <f>IFERROR((HistoricalFS!F18-HistoricalFS!F26)/HistoricalFS!F6,0)</f>
        <v>0.15013505900266469</v>
      </c>
      <c r="G13" s="43">
        <f>IFERROR((HistoricalFS!G18-HistoricalFS!G26)/HistoricalFS!G6,0)</f>
        <v>0.1907571584571561</v>
      </c>
      <c r="H13" s="43">
        <f>IFERROR((HistoricalFS!H18-HistoricalFS!H26)/HistoricalFS!H6,0)</f>
        <v>0.20990653349714344</v>
      </c>
      <c r="I13" s="43">
        <f>IFERROR((HistoricalFS!I18-HistoricalFS!I26)/HistoricalFS!I6,0)</f>
        <v>0.20783567669453912</v>
      </c>
      <c r="J13" s="43">
        <f>IFERROR((HistoricalFS!J18-HistoricalFS!J26)/HistoricalFS!J6,0)</f>
        <v>0.21570741192469192</v>
      </c>
      <c r="K13" s="43">
        <f>IFERROR((HistoricalFS!K18-HistoricalFS!K26)/HistoricalFS!K6,0)</f>
        <v>0.23848311208928988</v>
      </c>
      <c r="L13" s="43">
        <f>IFERROR((HistoricalFS!L18-HistoricalFS!L26)/HistoricalFS!L6,0)</f>
        <v>0.25304539492634881</v>
      </c>
      <c r="N13" s="43">
        <f t="shared" si="2"/>
        <v>0.20607698615312472</v>
      </c>
      <c r="O13" s="43">
        <f t="shared" si="1"/>
        <v>0.20887110509584128</v>
      </c>
    </row>
    <row r="14" spans="2:18" x14ac:dyDescent="0.3">
      <c r="B14" t="s">
        <v>151</v>
      </c>
      <c r="C14" s="43">
        <f>IFERROR(HistoricalFS!C33,0)</f>
        <v>0.28652048676248726</v>
      </c>
      <c r="D14" s="43">
        <f>IFERROR(HistoricalFS!D33,0)</f>
        <v>0.131334500590046</v>
      </c>
      <c r="E14" s="43">
        <f>IFERROR(HistoricalFS!E33,0)</f>
        <v>0.13108827488972483</v>
      </c>
      <c r="F14" s="43">
        <f>IFERROR(HistoricalFS!F33,0)</f>
        <v>0.15255698515416827</v>
      </c>
      <c r="G14" s="43">
        <f>IFERROR(HistoricalFS!G33,0)</f>
        <v>8.3567923472765926E-2</v>
      </c>
      <c r="H14" s="43">
        <f>IFERROR(HistoricalFS!H33,0)</f>
        <v>0.11593271570779995</v>
      </c>
      <c r="I14" s="43">
        <f>IFERROR(HistoricalFS!I33,0)</f>
        <v>0.2143849656653378</v>
      </c>
      <c r="J14" s="43">
        <f>IFERROR(HistoricalFS!J33,0)</f>
        <v>0.22863113789864695</v>
      </c>
      <c r="K14" s="43">
        <f>IFERROR(HistoricalFS!K33,0)</f>
        <v>0.26155454593175459</v>
      </c>
      <c r="L14" s="43">
        <f>IFERROR(HistoricalFS!L33,0)</f>
        <v>0.25861020244931582</v>
      </c>
      <c r="N14" s="43">
        <f t="shared" si="2"/>
        <v>0.18641817385220472</v>
      </c>
      <c r="O14" s="43">
        <f t="shared" si="1"/>
        <v>0.18347097540975305</v>
      </c>
    </row>
    <row r="15" spans="2:18" x14ac:dyDescent="0.3">
      <c r="B15" s="44" t="s">
        <v>152</v>
      </c>
      <c r="C15" s="45">
        <f>IFERROR(HistoricalFS!C39,0)</f>
        <v>0.24815348699935771</v>
      </c>
      <c r="D15" s="45">
        <f>IFERROR(HistoricalFS!D39,0)</f>
        <v>9.6941953516606227E-2</v>
      </c>
      <c r="E15" s="45">
        <f>IFERROR(HistoricalFS!E39,0)</f>
        <v>0.11041525966329634</v>
      </c>
      <c r="F15" s="45">
        <f>IFERROR(HistoricalFS!F39,0)</f>
        <v>0.12750026646364673</v>
      </c>
      <c r="G15" s="45">
        <f>IFERROR(HistoricalFS!G39,0)</f>
        <v>6.820318978904498E-2</v>
      </c>
      <c r="H15" s="45">
        <f>IFERROR(HistoricalFS!H39,0)</f>
        <v>8.8109298557554283E-2</v>
      </c>
      <c r="I15" s="45">
        <f>IFERROR(HistoricalFS!I39,0)</f>
        <v>0.19507137635784616</v>
      </c>
      <c r="J15" s="45">
        <f>IFERROR(HistoricalFS!J39,0)</f>
        <v>0.19894982870021446</v>
      </c>
      <c r="K15" s="45">
        <f>IFERROR(HistoricalFS!K39,0)</f>
        <v>0.20883274589356401</v>
      </c>
      <c r="L15" s="45">
        <f>IFERROR(HistoricalFS!L39,0)</f>
        <v>0.19781246087204621</v>
      </c>
      <c r="M15" s="44"/>
      <c r="N15" s="45">
        <f t="shared" si="2"/>
        <v>0.1539989866813177</v>
      </c>
      <c r="O15" s="45">
        <f t="shared" si="1"/>
        <v>0.16128582141074643</v>
      </c>
    </row>
    <row r="16" spans="2:18" x14ac:dyDescent="0.3">
      <c r="O16" s="26">
        <f t="shared" si="1"/>
        <v>0</v>
      </c>
    </row>
    <row r="17" spans="2:15" x14ac:dyDescent="0.3">
      <c r="B17" s="41" t="s">
        <v>153</v>
      </c>
      <c r="C17" s="42">
        <f>IFERROR(HistoricalFS!C16,0)</f>
        <v>0.18825597464599264</v>
      </c>
      <c r="D17" s="42">
        <f>IFERROR(HistoricalFS!D16,0)</f>
        <v>0.21434902787750298</v>
      </c>
      <c r="E17" s="42">
        <f>IFERROR(HistoricalFS!E16,0)</f>
        <v>0.21862587477907966</v>
      </c>
      <c r="F17" s="42">
        <f>IFERROR(HistoricalFS!F16,0)</f>
        <v>0.24210034259611726</v>
      </c>
      <c r="G17" s="42">
        <f>IFERROR(HistoricalFS!G16,0)</f>
        <v>0.21269837668598915</v>
      </c>
      <c r="H17" s="42">
        <f>IFERROR(HistoricalFS!H16,0)</f>
        <v>0.21112838379189586</v>
      </c>
      <c r="I17" s="42">
        <f>IFERROR(HistoricalFS!I16,0)</f>
        <v>0.23949110507117582</v>
      </c>
      <c r="J17" s="42">
        <f>IFERROR(HistoricalFS!J16,0)</f>
        <v>0.25651171158539166</v>
      </c>
      <c r="K17" s="42">
        <f>IFERROR(HistoricalFS!K16,0)</f>
        <v>0.26116902669611347</v>
      </c>
      <c r="L17" s="42">
        <f>IFERROR(HistoricalFS!L16,0)</f>
        <v>0.30392541895561631</v>
      </c>
      <c r="M17" s="41"/>
      <c r="N17" s="42">
        <f t="shared" si="2"/>
        <v>0.23482552426848749</v>
      </c>
      <c r="O17" s="42">
        <f t="shared" si="1"/>
        <v>0.22905848992512773</v>
      </c>
    </row>
    <row r="18" spans="2:15" x14ac:dyDescent="0.3">
      <c r="B18" t="s">
        <v>154</v>
      </c>
      <c r="C18" s="43">
        <f>IFERROR(HistoricalFS!C27,0)</f>
        <v>4.0051060153699802E-2</v>
      </c>
      <c r="D18" s="43">
        <f>IFERROR(HistoricalFS!D27,0)</f>
        <v>5.6620255754552942E-2</v>
      </c>
      <c r="E18" s="43">
        <f>IFERROR(HistoricalFS!E27,0)</f>
        <v>6.0319804196737693E-2</v>
      </c>
      <c r="F18" s="43">
        <f>IFERROR(HistoricalFS!F27,0)</f>
        <v>6.2513285116102019E-2</v>
      </c>
      <c r="G18" s="43">
        <f>IFERROR(HistoricalFS!G27,0)</f>
        <v>6.2091507170248854E-2</v>
      </c>
      <c r="H18" s="43">
        <f>IFERROR(HistoricalFS!H27,0)</f>
        <v>5.5459016533396244E-2</v>
      </c>
      <c r="I18" s="43">
        <f>IFERROR(HistoricalFS!I27,0)</f>
        <v>5.7636796330830464E-2</v>
      </c>
      <c r="J18" s="43">
        <f>IFERROR(HistoricalFS!J27,0)</f>
        <v>5.2717650734016741E-2</v>
      </c>
      <c r="K18" s="43">
        <f>IFERROR(HistoricalFS!K27,0)</f>
        <v>4.898186404921865E-2</v>
      </c>
      <c r="L18" s="43">
        <f>IFERROR(HistoricalFS!L27,0)</f>
        <v>5.0252266256873686E-2</v>
      </c>
      <c r="N18" s="43">
        <f t="shared" si="2"/>
        <v>5.4664350629567718E-2</v>
      </c>
      <c r="O18" s="43">
        <f t="shared" si="1"/>
        <v>5.6039636143974593E-2</v>
      </c>
    </row>
    <row r="19" spans="2:15" x14ac:dyDescent="0.3">
      <c r="B19" s="44" t="s">
        <v>155</v>
      </c>
      <c r="C19" s="45">
        <f>C13</f>
        <v>0.27985137961216566</v>
      </c>
      <c r="D19" s="45">
        <f t="shared" ref="D19:L19" si="3">D13</f>
        <v>0.15597071438979881</v>
      </c>
      <c r="E19" s="45">
        <f t="shared" si="3"/>
        <v>0.15907742093744875</v>
      </c>
      <c r="F19" s="45">
        <f t="shared" si="3"/>
        <v>0.15013505900266469</v>
      </c>
      <c r="G19" s="45">
        <f t="shared" si="3"/>
        <v>0.1907571584571561</v>
      </c>
      <c r="H19" s="45">
        <f t="shared" si="3"/>
        <v>0.20990653349714344</v>
      </c>
      <c r="I19" s="45">
        <f t="shared" si="3"/>
        <v>0.20783567669453912</v>
      </c>
      <c r="J19" s="45">
        <f t="shared" si="3"/>
        <v>0.21570741192469192</v>
      </c>
      <c r="K19" s="45">
        <f t="shared" si="3"/>
        <v>0.23848311208928988</v>
      </c>
      <c r="L19" s="45">
        <f t="shared" si="3"/>
        <v>0.25304539492634881</v>
      </c>
      <c r="M19" s="44"/>
      <c r="N19" s="45">
        <f t="shared" si="2"/>
        <v>0.20607698615312472</v>
      </c>
      <c r="O19" s="45">
        <f t="shared" si="1"/>
        <v>0.20887110509584128</v>
      </c>
    </row>
    <row r="20" spans="2:15" x14ac:dyDescent="0.3">
      <c r="O20" s="26">
        <f t="shared" si="1"/>
        <v>0</v>
      </c>
    </row>
    <row r="21" spans="2:15" x14ac:dyDescent="0.3">
      <c r="B21" s="41" t="s">
        <v>156</v>
      </c>
      <c r="C21" s="42">
        <f>IFERROR((HistoricalFS!C29)/(SUM(HistoricalFS!C53:C55)),0)</f>
        <v>0.19016561569858814</v>
      </c>
      <c r="D21" s="42">
        <f>IFERROR((HistoricalFS!D29)/(SUM(HistoricalFS!D53:D55)),0)</f>
        <v>8.4838451742096088E-2</v>
      </c>
      <c r="E21" s="42">
        <f>IFERROR((HistoricalFS!E29)/(SUM(HistoricalFS!E53:E55)),0)</f>
        <v>8.9049026431617981E-2</v>
      </c>
      <c r="F21" s="42">
        <f>IFERROR((HistoricalFS!F29)/(SUM(HistoricalFS!F53:F55)),0)</f>
        <v>9.2014215183355258E-2</v>
      </c>
      <c r="G21" s="42">
        <f>IFERROR((HistoricalFS!G29)/(SUM(HistoricalFS!G53:G55)),0)</f>
        <v>0.12695881851791804</v>
      </c>
      <c r="H21" s="42">
        <f>IFERROR((HistoricalFS!H29)/(SUM(HistoricalFS!H53:H55)),0)</f>
        <v>0.16457565608524841</v>
      </c>
      <c r="I21" s="42">
        <f>IFERROR((HistoricalFS!I29)/(SUM(HistoricalFS!I53:I55)),0)</f>
        <v>0.1450513467846139</v>
      </c>
      <c r="J21" s="42">
        <f>IFERROR((HistoricalFS!J29)/(SUM(HistoricalFS!J53:J55)),0)</f>
        <v>0.15627523699433013</v>
      </c>
      <c r="K21" s="42">
        <f>IFERROR((HistoricalFS!K29)/(SUM(HistoricalFS!K53:K55)),0)</f>
        <v>0.16812864967797764</v>
      </c>
      <c r="L21" s="42">
        <f>IFERROR((HistoricalFS!L29)/(SUM(HistoricalFS!L53:L55)),0)</f>
        <v>0.16773224973386408</v>
      </c>
      <c r="M21" s="41"/>
      <c r="N21" s="42">
        <f t="shared" si="2"/>
        <v>0.13847892668496095</v>
      </c>
      <c r="O21" s="42">
        <f t="shared" si="1"/>
        <v>0.15066329188947203</v>
      </c>
    </row>
    <row r="22" spans="2:15" x14ac:dyDescent="0.3">
      <c r="B22" t="s">
        <v>157</v>
      </c>
      <c r="C22" s="43">
        <f>IFERROR(HistoricalFS!C49,0)</f>
        <v>1.1071628191876268</v>
      </c>
      <c r="D22" s="43">
        <f>IFERROR(HistoricalFS!D49,0)</f>
        <v>1.1868657367383972</v>
      </c>
      <c r="E22" s="43">
        <f>IFERROR(HistoricalFS!E49,0)</f>
        <v>1.2055918387695834</v>
      </c>
      <c r="F22" s="43">
        <f>IFERROR(HistoricalFS!F49,0)</f>
        <v>1.2292257314075938</v>
      </c>
      <c r="G22" s="43">
        <f>IFERROR(HistoricalFS!G49,0)</f>
        <v>1.7876289020781908</v>
      </c>
      <c r="H22" s="43">
        <f>IFERROR(HistoricalFS!H49,0)</f>
        <v>1.7044705827084234</v>
      </c>
      <c r="I22" s="43">
        <f>IFERROR(HistoricalFS!I49,0)</f>
        <v>1.3223048205549921</v>
      </c>
      <c r="J22" s="43">
        <f>IFERROR(HistoricalFS!J49,0)</f>
        <v>1.3357081559298707</v>
      </c>
      <c r="K22" s="43">
        <f>IFERROR(HistoricalFS!K49,0)</f>
        <v>1.3496215881458273</v>
      </c>
      <c r="L22" s="43">
        <f>IFERROR(HistoricalFS!L49,0)</f>
        <v>1.3319532501132776</v>
      </c>
      <c r="N22" s="43">
        <f t="shared" si="2"/>
        <v>1.3560533425633783</v>
      </c>
      <c r="O22" s="43">
        <f t="shared" si="1"/>
        <v>1.327129035334135</v>
      </c>
    </row>
    <row r="23" spans="2:15" x14ac:dyDescent="0.3">
      <c r="B23" t="s">
        <v>158</v>
      </c>
      <c r="C23" s="43">
        <f>IFERROR(HistoricalFS!C38/SUM(HistoricalFS!C53:C54),0)</f>
        <v>0.21387474286749847</v>
      </c>
      <c r="D23" s="43">
        <f>IFERROR(HistoricalFS!D38/SUM(HistoricalFS!D53:D54),0)</f>
        <v>6.7023349883371955E-2</v>
      </c>
      <c r="E23" s="43">
        <f>IFERROR(HistoricalFS!E38/SUM(HistoricalFS!E53:E54),0)</f>
        <v>7.7502845995538222E-2</v>
      </c>
      <c r="F23" s="43">
        <f>IFERROR(HistoricalFS!F38/SUM(HistoricalFS!F53:F54),0)</f>
        <v>9.2496208393120879E-2</v>
      </c>
      <c r="G23" s="43">
        <f>IFERROR(HistoricalFS!G38/SUM(HistoricalFS!G53:G54),0)</f>
        <v>4.9172262184914439E-2</v>
      </c>
      <c r="H23" s="43">
        <f>IFERROR(HistoricalFS!H38/SUM(HistoricalFS!H53:H54),0)</f>
        <v>7.0938001575464982E-2</v>
      </c>
      <c r="I23" s="43">
        <f>IFERROR(HistoricalFS!I38/SUM(HistoricalFS!I53:I54),0)</f>
        <v>0.15288475584950048</v>
      </c>
      <c r="J23" s="43">
        <f>IFERROR(HistoricalFS!J38/SUM(HistoricalFS!J53:J54),0)</f>
        <v>0.15154597965185901</v>
      </c>
      <c r="K23" s="43">
        <f>IFERROR(HistoricalFS!K38/SUM(HistoricalFS!K53:K54),0)</f>
        <v>0.15204100029327866</v>
      </c>
      <c r="L23" s="43">
        <f>IFERROR(HistoricalFS!L38/SUM(HistoricalFS!L53:L54),0)</f>
        <v>0.13838108825777262</v>
      </c>
      <c r="N23" s="43">
        <f t="shared" si="2"/>
        <v>0.11658602349523198</v>
      </c>
      <c r="O23" s="43">
        <f t="shared" si="1"/>
        <v>0.11543864832544676</v>
      </c>
    </row>
    <row r="24" spans="2:15" x14ac:dyDescent="0.3">
      <c r="B24" t="s">
        <v>159</v>
      </c>
      <c r="C24" s="43">
        <f>IFERROR(C22*C23,0)</f>
        <v>0.23679416326620839</v>
      </c>
      <c r="D24" s="43">
        <f t="shared" ref="D24:L24" si="4">IFERROR(D22*D23,0)</f>
        <v>7.9547717538003632E-2</v>
      </c>
      <c r="E24" s="43">
        <f t="shared" si="4"/>
        <v>9.3436798613636768E-2</v>
      </c>
      <c r="F24" s="43">
        <f t="shared" si="4"/>
        <v>0.11369871941446323</v>
      </c>
      <c r="G24" s="43">
        <f t="shared" si="4"/>
        <v>8.7901757062319535E-2</v>
      </c>
      <c r="H24" s="43">
        <f t="shared" si="4"/>
        <v>0.12091173688150386</v>
      </c>
      <c r="I24" s="43">
        <f t="shared" si="4"/>
        <v>0.20216024964916751</v>
      </c>
      <c r="J24" s="43">
        <f t="shared" si="4"/>
        <v>0.20242120101937031</v>
      </c>
      <c r="K24" s="43">
        <f t="shared" si="4"/>
        <v>0.20519781627909495</v>
      </c>
      <c r="L24" s="43">
        <f t="shared" si="4"/>
        <v>0.18431714025915255</v>
      </c>
      <c r="N24" s="43">
        <f t="shared" si="2"/>
        <v>0.15263872999829206</v>
      </c>
      <c r="O24" s="43">
        <f t="shared" si="1"/>
        <v>0.15261443857032819</v>
      </c>
    </row>
    <row r="25" spans="2:15" x14ac:dyDescent="0.3">
      <c r="B25" s="44" t="s">
        <v>160</v>
      </c>
      <c r="C25" s="47">
        <f>IFERROR((HistoricalFS!C18-HistoricalFS!C26)/HistoricalFS!C23,0)</f>
        <v>22.104227113556771</v>
      </c>
      <c r="D25" s="47">
        <f>IFERROR((HistoricalFS!D18-HistoricalFS!D26)/HistoricalFS!D23,0)</f>
        <v>7.9826496898970181</v>
      </c>
      <c r="E25" s="47">
        <f>IFERROR((HistoricalFS!E18-HistoricalFS!E26)/HistoricalFS!E23,0)</f>
        <v>8.3272940117064405</v>
      </c>
      <c r="F25" s="47">
        <f>IFERROR((HistoricalFS!F18-HistoricalFS!F26)/HistoricalFS!F23,0)</f>
        <v>16.285336768737821</v>
      </c>
      <c r="G25" s="47">
        <f>IFERROR((HistoricalFS!G18-HistoricalFS!G26)/HistoricalFS!G23,0)</f>
        <v>45.181432510782713</v>
      </c>
      <c r="H25" s="47">
        <f>IFERROR((HistoricalFS!H18-HistoricalFS!H26)/HistoricalFS!H23,0)</f>
        <v>63.712838633686665</v>
      </c>
      <c r="I25" s="47">
        <f>IFERROR((HistoricalFS!I18-HistoricalFS!I26)/HistoricalFS!I23,0)</f>
        <v>53.029127906976754</v>
      </c>
      <c r="J25" s="47">
        <f>IFERROR((HistoricalFS!J18-HistoricalFS!J26)/HistoricalFS!J23,0)</f>
        <v>43.867698242965552</v>
      </c>
      <c r="K25" s="47">
        <f>IFERROR((HistoricalFS!K18-HistoricalFS!K26)/HistoricalFS!K23,0)</f>
        <v>54.197225103734453</v>
      </c>
      <c r="L25" s="47">
        <f>IFERROR((HistoricalFS!L18-HistoricalFS!L26)/HistoricalFS!L23,0)</f>
        <v>43.650379156708269</v>
      </c>
      <c r="M25" s="44"/>
      <c r="N25" s="45">
        <f t="shared" si="2"/>
        <v>35.833820913875243</v>
      </c>
      <c r="O25" s="45">
        <f t="shared" si="1"/>
        <v>43.759038699836907</v>
      </c>
    </row>
    <row r="26" spans="2:15" x14ac:dyDescent="0.3">
      <c r="O26" s="26">
        <f t="shared" si="1"/>
        <v>0</v>
      </c>
    </row>
    <row r="27" spans="2:15" x14ac:dyDescent="0.3">
      <c r="B27" s="41" t="s">
        <v>161</v>
      </c>
      <c r="C27" s="48">
        <f>IFERROR(HistoricalFS!C6/HistoricalFS!C65,0)</f>
        <v>4.38430513383343</v>
      </c>
      <c r="D27" s="48">
        <f>IFERROR(HistoricalFS!D6/HistoricalFS!D65,0)</f>
        <v>3.3894447799694958</v>
      </c>
      <c r="E27" s="48">
        <f>IFERROR(HistoricalFS!E6/HistoricalFS!E65,0)</f>
        <v>3.2716406654510251</v>
      </c>
      <c r="F27" s="48">
        <f>IFERROR(HistoricalFS!F6/HistoricalFS!F65,0)</f>
        <v>3.4854753726685659</v>
      </c>
      <c r="G27" s="48">
        <f>IFERROR(HistoricalFS!G6/HistoricalFS!G65,0)</f>
        <v>3.696795197210144</v>
      </c>
      <c r="H27" s="48">
        <f>IFERROR(HistoricalFS!H6/HistoricalFS!H65,0)</f>
        <v>3.6867908044091373</v>
      </c>
      <c r="I27" s="48">
        <f>IFERROR(HistoricalFS!I6/HistoricalFS!I65,0)</f>
        <v>3.8366605440743591</v>
      </c>
      <c r="J27" s="48">
        <f>IFERROR(HistoricalFS!J6/HistoricalFS!J65,0)</f>
        <v>4.3110725311728562</v>
      </c>
      <c r="K27" s="48">
        <f>IFERROR(HistoricalFS!K6/HistoricalFS!K65,0)</f>
        <v>4.0302005731976811</v>
      </c>
      <c r="L27" s="48">
        <f>IFERROR(HistoricalFS!L6/HistoricalFS!L65,0)</f>
        <v>3.7693929013318788</v>
      </c>
      <c r="M27" s="41"/>
      <c r="N27" s="48">
        <f t="shared" si="2"/>
        <v>3.7861778503318577</v>
      </c>
      <c r="O27" s="48">
        <f t="shared" si="1"/>
        <v>3.7330940492710116</v>
      </c>
    </row>
    <row r="28" spans="2:15" x14ac:dyDescent="0.3">
      <c r="B28" t="s">
        <v>162</v>
      </c>
      <c r="C28" s="49">
        <f>IFERROR(HistoricalFS!C6/HistoricalFS!C56,0)</f>
        <v>2.1593557444230411</v>
      </c>
      <c r="D28" s="49">
        <f>IFERROR(HistoricalFS!D6/HistoricalFS!D56,0)</f>
        <v>1.6982589445704932</v>
      </c>
      <c r="E28" s="49">
        <f>IFERROR(HistoricalFS!E6/HistoricalFS!E56,0)</f>
        <v>2.2947779547153782</v>
      </c>
      <c r="F28" s="49">
        <f>IFERROR(HistoricalFS!F6/HistoricalFS!F56,0)</f>
        <v>2.2468369803879442</v>
      </c>
      <c r="G28" s="49">
        <f>IFERROR(HistoricalFS!G6/HistoricalFS!G56,0)</f>
        <v>1.9373322090399203</v>
      </c>
      <c r="H28" s="49">
        <f>IFERROR(HistoricalFS!H6/HistoricalFS!H56,0)</f>
        <v>1.8879434259091479</v>
      </c>
      <c r="I28" s="49">
        <f>IFERROR(HistoricalFS!I6/HistoricalFS!I56,0)</f>
        <v>2.4612495898915627</v>
      </c>
      <c r="J28" s="49">
        <f>IFERROR(HistoricalFS!J6/HistoricalFS!J56,0)</f>
        <v>2.6375087900009628</v>
      </c>
      <c r="K28" s="49">
        <f>IFERROR(HistoricalFS!K6/HistoricalFS!K56,0)</f>
        <v>3.0343174285676362</v>
      </c>
      <c r="L28" s="49">
        <f>IFERROR(HistoricalFS!L6/HistoricalFS!L56,0)</f>
        <v>2.8396434589205941</v>
      </c>
      <c r="N28" s="49">
        <f t="shared" si="2"/>
        <v>2.3197224526426679</v>
      </c>
      <c r="O28" s="49">
        <f t="shared" si="1"/>
        <v>2.270807467551661</v>
      </c>
    </row>
    <row r="29" spans="2:15" x14ac:dyDescent="0.3">
      <c r="B29" t="s">
        <v>163</v>
      </c>
      <c r="C29" s="49">
        <f>HistoricalFS!C6/HistoricalFS!C66</f>
        <v>4.6215890680408203</v>
      </c>
      <c r="D29" s="49">
        <f>HistoricalFS!D6/HistoricalFS!D66</f>
        <v>3.8498261075560736</v>
      </c>
      <c r="E29" s="49">
        <f>HistoricalFS!E6/HistoricalFS!E66</f>
        <v>3.6857701896276684</v>
      </c>
      <c r="F29" s="49">
        <f>HistoricalFS!F6/HistoricalFS!F66</f>
        <v>4.1698465648845273</v>
      </c>
      <c r="G29" s="49">
        <f>HistoricalFS!G6/HistoricalFS!G66</f>
        <v>3.723248364458454</v>
      </c>
      <c r="H29" s="49">
        <f>HistoricalFS!H6/HistoricalFS!H66</f>
        <v>4.3309722099285954</v>
      </c>
      <c r="I29" s="49">
        <f>HistoricalFS!I6/HistoricalFS!I66</f>
        <v>4.1744003880890892</v>
      </c>
      <c r="J29" s="49">
        <f>HistoricalFS!J6/HistoricalFS!J66</f>
        <v>4.9144127300677214</v>
      </c>
      <c r="K29" s="49">
        <f>HistoricalFS!K6/HistoricalFS!K66</f>
        <v>5.1329440718984944</v>
      </c>
      <c r="L29" s="49">
        <f>HistoricalFS!L6/HistoricalFS!L66</f>
        <v>5.0867829178460147</v>
      </c>
      <c r="N29" s="49">
        <f t="shared" si="2"/>
        <v>4.3689792612397458</v>
      </c>
      <c r="O29" s="49">
        <f t="shared" si="1"/>
        <v>4.2526862990088423</v>
      </c>
    </row>
    <row r="30" spans="2:15" x14ac:dyDescent="0.3">
      <c r="B30" t="s">
        <v>164</v>
      </c>
      <c r="C30" s="49">
        <f>IFERROR(HistoricalFS!C6/HistoricalFS!C59,0)</f>
        <v>1.7865989407739784</v>
      </c>
      <c r="D30" s="49">
        <f>IFERROR(HistoricalFS!D6/HistoricalFS!D59,0)</f>
        <v>1.4050788615924019</v>
      </c>
      <c r="E30" s="49">
        <f>IFERROR(HistoricalFS!E6/HistoricalFS!E59,0)</f>
        <v>1.3310675592378645</v>
      </c>
      <c r="F30" s="49">
        <f>IFERROR(HistoricalFS!F6/HistoricalFS!F59,0)</f>
        <v>1.4372840791161694</v>
      </c>
      <c r="G30" s="49">
        <f>IFERROR(HistoricalFS!G6/HistoricalFS!G59,0)</f>
        <v>1.5542231283098671</v>
      </c>
      <c r="H30" s="49">
        <f>IFERROR(HistoricalFS!H6/HistoricalFS!H59,0)</f>
        <v>1.7054585098891866</v>
      </c>
      <c r="I30" s="49">
        <f>IFERROR(HistoricalFS!I6/HistoricalFS!I59,0)</f>
        <v>1.8235976570550965</v>
      </c>
      <c r="J30" s="49">
        <f>IFERROR(HistoricalFS!J6/HistoricalFS!J59,0)</f>
        <v>2.0860520084393812</v>
      </c>
      <c r="K30" s="49">
        <f>IFERROR(HistoricalFS!K6/HistoricalFS!K59,0)</f>
        <v>2.3278928623925679</v>
      </c>
      <c r="L30" s="49">
        <f>IFERROR(HistoricalFS!L6/HistoricalFS!L59,0)</f>
        <v>1.6948785780447537</v>
      </c>
      <c r="N30" s="49">
        <f t="shared" si="2"/>
        <v>1.7152132184851268</v>
      </c>
      <c r="O30" s="49">
        <f t="shared" si="1"/>
        <v>1.7001685439669703</v>
      </c>
    </row>
    <row r="31" spans="2:15" x14ac:dyDescent="0.3">
      <c r="B31" s="44" t="s">
        <v>165</v>
      </c>
      <c r="C31" s="47">
        <f>IFERROR(HistoricalFS!C6/SUM(HistoricalFS!C53:C54),0)</f>
        <v>0.86186474932770951</v>
      </c>
      <c r="D31" s="47">
        <f>IFERROR(HistoricalFS!D6/SUM(HistoricalFS!D53:D54),0)</f>
        <v>0.6913761013892793</v>
      </c>
      <c r="E31" s="47">
        <f>IFERROR(HistoricalFS!E6/SUM(HistoricalFS!E53:E54),0)</f>
        <v>0.70192151186237994</v>
      </c>
      <c r="F31" s="47">
        <f>IFERROR(HistoricalFS!F6/SUM(HistoricalFS!F53:F54),0)</f>
        <v>0.72545894184067194</v>
      </c>
      <c r="G31" s="47">
        <f>IFERROR(HistoricalFS!G6/SUM(HistoricalFS!G53:G54),0)</f>
        <v>0.72096719137339604</v>
      </c>
      <c r="H31" s="47">
        <f>IFERROR(HistoricalFS!H6/SUM(HistoricalFS!H53:H54),0)</f>
        <v>0.80511367967737535</v>
      </c>
      <c r="I31" s="47">
        <f>IFERROR(HistoricalFS!I6/SUM(HistoricalFS!I53:I54),0)</f>
        <v>0.78373751548788495</v>
      </c>
      <c r="J31" s="47">
        <f>IFERROR(HistoricalFS!J6/SUM(HistoricalFS!J53:J54),0)</f>
        <v>0.76172963124393811</v>
      </c>
      <c r="K31" s="47">
        <f>IFERROR(HistoricalFS!K6/SUM(HistoricalFS!K53:K54),0)</f>
        <v>0.72805153062905925</v>
      </c>
      <c r="L31" s="47">
        <f>IFERROR(HistoricalFS!L6/SUM(HistoricalFS!L53:L54),0)</f>
        <v>0.69955698264773924</v>
      </c>
      <c r="M31" s="44"/>
      <c r="N31" s="47">
        <f t="shared" si="2"/>
        <v>0.74797778354794331</v>
      </c>
      <c r="O31" s="47">
        <f t="shared" si="1"/>
        <v>0.7267552362348656</v>
      </c>
    </row>
    <row r="32" spans="2:15" x14ac:dyDescent="0.3">
      <c r="O32" s="26">
        <f t="shared" si="1"/>
        <v>0</v>
      </c>
    </row>
    <row r="33" spans="2:15" x14ac:dyDescent="0.3">
      <c r="B33" s="40" t="s">
        <v>176</v>
      </c>
      <c r="O33" s="26">
        <f t="shared" si="1"/>
        <v>0</v>
      </c>
    </row>
    <row r="34" spans="2:15" x14ac:dyDescent="0.3">
      <c r="B34" s="41" t="s">
        <v>166</v>
      </c>
      <c r="C34" s="50">
        <f>IFERROR(365/C27,0)</f>
        <v>83.251504824177502</v>
      </c>
      <c r="D34" s="50">
        <f t="shared" ref="D34:L34" si="5">IFERROR(365/D27,0)</f>
        <v>107.68725372280144</v>
      </c>
      <c r="E34" s="50">
        <f t="shared" si="5"/>
        <v>111.56481940527581</v>
      </c>
      <c r="F34" s="50">
        <f t="shared" si="5"/>
        <v>104.72029234868671</v>
      </c>
      <c r="G34" s="50">
        <f t="shared" si="5"/>
        <v>98.734168523983726</v>
      </c>
      <c r="H34" s="50">
        <f t="shared" si="5"/>
        <v>99.002091348249593</v>
      </c>
      <c r="I34" s="50">
        <f t="shared" si="5"/>
        <v>95.134817325378123</v>
      </c>
      <c r="J34" s="50">
        <f t="shared" si="5"/>
        <v>84.665706123181209</v>
      </c>
      <c r="K34" s="50">
        <f t="shared" si="5"/>
        <v>90.566212120405254</v>
      </c>
      <c r="L34" s="50">
        <f t="shared" si="5"/>
        <v>96.832569475851344</v>
      </c>
      <c r="M34" s="41"/>
      <c r="N34" s="50">
        <f t="shared" ref="N34:N37" si="6">IFERROR(AVERAGE(C34:L34),0)</f>
        <v>97.215943521799062</v>
      </c>
      <c r="O34" s="50">
        <f t="shared" si="1"/>
        <v>97.783368999917542</v>
      </c>
    </row>
    <row r="35" spans="2:15" x14ac:dyDescent="0.3">
      <c r="B35" t="s">
        <v>167</v>
      </c>
      <c r="C35" s="51">
        <f>IFERROR(365/C28,0)</f>
        <v>169.03189802916168</v>
      </c>
      <c r="D35" s="51">
        <f t="shared" ref="D35:L35" si="7">IFERROR(365/D28,0)</f>
        <v>214.92599886898412</v>
      </c>
      <c r="E35" s="51">
        <f t="shared" si="7"/>
        <v>159.0567833589246</v>
      </c>
      <c r="F35" s="51">
        <f t="shared" si="7"/>
        <v>162.45059307194518</v>
      </c>
      <c r="G35" s="51">
        <f t="shared" si="7"/>
        <v>188.40341284620581</v>
      </c>
      <c r="H35" s="51">
        <f t="shared" si="7"/>
        <v>193.33206439924572</v>
      </c>
      <c r="I35" s="51">
        <f t="shared" si="7"/>
        <v>148.29865345597929</v>
      </c>
      <c r="J35" s="51">
        <f t="shared" si="7"/>
        <v>138.38816438593435</v>
      </c>
      <c r="K35" s="51">
        <f t="shared" si="7"/>
        <v>120.29064479661245</v>
      </c>
      <c r="L35" s="51">
        <f t="shared" si="7"/>
        <v>128.53726366715907</v>
      </c>
      <c r="N35" s="51">
        <f t="shared" si="6"/>
        <v>162.27154768801523</v>
      </c>
      <c r="O35" s="51">
        <f t="shared" si="1"/>
        <v>160.75368821543489</v>
      </c>
    </row>
    <row r="36" spans="2:15" x14ac:dyDescent="0.3">
      <c r="B36" t="s">
        <v>168</v>
      </c>
      <c r="C36" s="51">
        <f>IFERROR(365/C29,0)</f>
        <v>78.977164483109362</v>
      </c>
      <c r="D36" s="51">
        <f t="shared" ref="D36:L36" si="8">IFERROR(365/D29,0)</f>
        <v>94.809477052382348</v>
      </c>
      <c r="E36" s="51">
        <f t="shared" si="8"/>
        <v>99.029505699288265</v>
      </c>
      <c r="F36" s="51">
        <f t="shared" si="8"/>
        <v>87.533196802436223</v>
      </c>
      <c r="G36" s="51">
        <f t="shared" si="8"/>
        <v>98.032675844091642</v>
      </c>
      <c r="H36" s="51">
        <f t="shared" si="8"/>
        <v>84.276689460913843</v>
      </c>
      <c r="I36" s="51">
        <f t="shared" si="8"/>
        <v>87.43770747086522</v>
      </c>
      <c r="J36" s="51">
        <f t="shared" si="8"/>
        <v>74.271336179566305</v>
      </c>
      <c r="K36" s="51">
        <f t="shared" si="8"/>
        <v>71.109288331871383</v>
      </c>
      <c r="L36" s="51">
        <f t="shared" si="8"/>
        <v>71.754585539608271</v>
      </c>
      <c r="N36" s="51">
        <f t="shared" si="6"/>
        <v>84.723162686413303</v>
      </c>
      <c r="O36" s="51">
        <f t="shared" si="1"/>
        <v>85.857198465889525</v>
      </c>
    </row>
    <row r="37" spans="2:15" x14ac:dyDescent="0.3">
      <c r="B37" s="44" t="s">
        <v>169</v>
      </c>
      <c r="C37" s="52">
        <f>SUM(C34,C36-C35)</f>
        <v>-6.8032287218748166</v>
      </c>
      <c r="D37" s="52">
        <f t="shared" ref="D37:L37" si="9">SUM(D34,D36-D35)</f>
        <v>-12.429268093800331</v>
      </c>
      <c r="E37" s="52">
        <f t="shared" si="9"/>
        <v>51.537541745639473</v>
      </c>
      <c r="F37" s="52">
        <f t="shared" si="9"/>
        <v>29.802896079177756</v>
      </c>
      <c r="G37" s="52">
        <f t="shared" si="9"/>
        <v>8.3634315218695576</v>
      </c>
      <c r="H37" s="52">
        <f t="shared" si="9"/>
        <v>-10.053283590082287</v>
      </c>
      <c r="I37" s="52">
        <f t="shared" si="9"/>
        <v>34.273871340264051</v>
      </c>
      <c r="J37" s="52">
        <f t="shared" si="9"/>
        <v>20.548877916813169</v>
      </c>
      <c r="K37" s="52">
        <f t="shared" si="9"/>
        <v>41.384855655664182</v>
      </c>
      <c r="L37" s="52">
        <f t="shared" si="9"/>
        <v>40.049891348300548</v>
      </c>
      <c r="M37" s="44"/>
      <c r="N37" s="52">
        <f t="shared" si="6"/>
        <v>19.667558520197129</v>
      </c>
      <c r="O37" s="52">
        <f t="shared" si="1"/>
        <v>25.175886997995462</v>
      </c>
    </row>
    <row r="38" spans="2:15" x14ac:dyDescent="0.3">
      <c r="O38" s="26">
        <f t="shared" si="1"/>
        <v>0</v>
      </c>
    </row>
    <row r="39" spans="2:15" x14ac:dyDescent="0.3">
      <c r="B39" s="41" t="s">
        <v>170</v>
      </c>
      <c r="C39" s="42">
        <f>IFERROR(HistoricalFS!C115/HistoricalFS!C6,0)</f>
        <v>0.22427358666229238</v>
      </c>
      <c r="D39" s="42">
        <f>IFERROR(HistoricalFS!D115/HistoricalFS!D6,0)</f>
        <v>0.14749828799832085</v>
      </c>
      <c r="E39" s="42">
        <f>IFERROR(HistoricalFS!E115/HistoricalFS!E6,0)</f>
        <v>7.5567907559061454E-2</v>
      </c>
      <c r="F39" s="42">
        <f>IFERROR(HistoricalFS!F115/HistoricalFS!F6,0)</f>
        <v>0.19961233346022081</v>
      </c>
      <c r="G39" s="42">
        <f>IFERROR(HistoricalFS!G115/HistoricalFS!G6,0)</f>
        <v>0.18420037649851603</v>
      </c>
      <c r="H39" s="42">
        <f>IFERROR(HistoricalFS!H115/HistoricalFS!H6,0)</f>
        <v>0.23243198914278784</v>
      </c>
      <c r="I39" s="42">
        <f>IFERROR(HistoricalFS!I115/HistoricalFS!I6,0)</f>
        <v>0.11300565469191773</v>
      </c>
      <c r="J39" s="42">
        <f>IFERROR(HistoricalFS!J115/HistoricalFS!J6,0)</f>
        <v>0.25022202472944116</v>
      </c>
      <c r="K39" s="42">
        <f>IFERROR(HistoricalFS!K115/HistoricalFS!K6,0)</f>
        <v>0.2676399299789039</v>
      </c>
      <c r="L39" s="42">
        <f>IFERROR(HistoricalFS!L115/HistoricalFS!L6,0)</f>
        <v>0.21243151966643656</v>
      </c>
      <c r="M39" s="41"/>
      <c r="N39" s="42">
        <f t="shared" ref="N39:N41" si="10">IFERROR(AVERAGE(C39:L39),0)</f>
        <v>0.19068836103878989</v>
      </c>
      <c r="O39" s="42">
        <f t="shared" si="1"/>
        <v>0.20602192656332868</v>
      </c>
    </row>
    <row r="40" spans="2:15" x14ac:dyDescent="0.3">
      <c r="B40" t="s">
        <v>171</v>
      </c>
      <c r="C40" s="43">
        <f>IFERROR(HistoricalFS!C115/HistoricalFS!C70,0)</f>
        <v>0.11592041633214913</v>
      </c>
      <c r="D40" s="43">
        <f>IFERROR(HistoricalFS!D115/HistoricalFS!D70,0)</f>
        <v>6.0766852278140687E-2</v>
      </c>
      <c r="E40" s="43">
        <f>IFERROR(HistoricalFS!E115/HistoricalFS!E70,0)</f>
        <v>3.4006285538848165E-2</v>
      </c>
      <c r="F40" s="43">
        <f>IFERROR(HistoricalFS!F115/HistoricalFS!F70,0)</f>
        <v>9.6119002286407434E-2</v>
      </c>
      <c r="G40" s="43">
        <f>IFERROR(HistoricalFS!G115/HistoricalFS!G70,0)</f>
        <v>9.1247669774816617E-2</v>
      </c>
      <c r="H40" s="43">
        <f>IFERROR(HistoricalFS!H115/HistoricalFS!H70,0)</f>
        <v>0.12876277786989809</v>
      </c>
      <c r="I40" s="43">
        <f>IFERROR(HistoricalFS!I115/HistoricalFS!I70,0)</f>
        <v>6.1444842705970254E-2</v>
      </c>
      <c r="J40" s="43">
        <f>IFERROR(HistoricalFS!J115/HistoricalFS!J70,0)</f>
        <v>0.14221603536198463</v>
      </c>
      <c r="K40" s="43">
        <f>IFERROR(HistoricalFS!K115/HistoricalFS!K70,0)</f>
        <v>0.15311037738333083</v>
      </c>
      <c r="L40" s="43">
        <f>IFERROR(HistoricalFS!L115/HistoricalFS!L70,0)</f>
        <v>0.11416238345613494</v>
      </c>
      <c r="N40" s="43">
        <f t="shared" si="10"/>
        <v>9.9775664298768094E-2</v>
      </c>
      <c r="O40" s="43">
        <f t="shared" si="1"/>
        <v>0.10514069287127119</v>
      </c>
    </row>
    <row r="41" spans="2:15" x14ac:dyDescent="0.3">
      <c r="B41" s="44" t="s">
        <v>172</v>
      </c>
      <c r="C41" s="45">
        <f>IFERROR(HistoricalFS!C115/HistoricalFS!C55,0)</f>
        <v>0.72033926749710375</v>
      </c>
      <c r="D41" s="45">
        <f>IFERROR(HistoricalFS!D115/HistoricalFS!D55,0)</f>
        <v>0.37622035825741651</v>
      </c>
      <c r="E41" s="45">
        <f>IFERROR(HistoricalFS!E115/HistoricalFS!E55,0)</f>
        <v>0.20890001864117261</v>
      </c>
      <c r="F41" s="45">
        <f>IFERROR(HistoricalFS!F115/HistoricalFS!F55,0)</f>
        <v>0.78831805149322676</v>
      </c>
      <c r="G41" s="45">
        <f>IFERROR(HistoricalFS!G115/HistoricalFS!G55,0)</f>
        <v>1.5949960967590175</v>
      </c>
      <c r="H41" s="45">
        <f>IFERROR(HistoricalFS!H115/HistoricalFS!H55,0)</f>
        <v>6.963140354956213</v>
      </c>
      <c r="I41" s="45">
        <f>IFERROR(HistoricalFS!I115/HistoricalFS!I55,0)</f>
        <v>0.72021836020720698</v>
      </c>
      <c r="J41" s="45">
        <f>IFERROR(HistoricalFS!J115/HistoricalFS!J55,0)</f>
        <v>3.7068427788995222</v>
      </c>
      <c r="K41" s="45">
        <f>IFERROR(HistoricalFS!K115/HistoricalFS!K55,0)</f>
        <v>5.9572219000165099</v>
      </c>
      <c r="L41" s="45">
        <f>IFERROR(HistoricalFS!L115/HistoricalFS!L55,0)</f>
        <v>2.6838818149598476</v>
      </c>
      <c r="M41" s="44"/>
      <c r="N41" s="45">
        <f t="shared" si="10"/>
        <v>2.3720079001687235</v>
      </c>
      <c r="O41" s="45">
        <f t="shared" si="1"/>
        <v>1.1916570741261221</v>
      </c>
    </row>
  </sheetData>
  <mergeCells count="1">
    <mergeCell ref="B2:O2"/>
  </mergeCell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05A4FD2-74AD-4B85-88C5-0B432027DA7F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4EB5C5F3-EC49-4FAA-B11D-CAD8C47A3B7E}">
          <x14:colorSeries rgb="FF376092"/>
          <x14:colorNegative rgb="FFD00000"/>
          <x14:colorAxis rgb="FF000000"/>
          <x14:colorMarkers rgb="FFFF0066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F667-BCEE-4860-8E62-7C67BDB201BD}">
  <dimension ref="B2:L33"/>
  <sheetViews>
    <sheetView workbookViewId="0">
      <selection activeCell="C2" sqref="C2:L2"/>
    </sheetView>
  </sheetViews>
  <sheetFormatPr defaultRowHeight="14.4" x14ac:dyDescent="0.3"/>
  <cols>
    <col min="2" max="2" width="22.33203125" customWidth="1"/>
    <col min="3" max="10" width="7.109375" bestFit="1" customWidth="1"/>
  </cols>
  <sheetData>
    <row r="2" spans="2:12" x14ac:dyDescent="0.3">
      <c r="C2" s="29">
        <v>42795</v>
      </c>
      <c r="D2" s="29">
        <v>43160</v>
      </c>
      <c r="E2" s="29">
        <v>43525</v>
      </c>
      <c r="F2" s="29">
        <v>43891</v>
      </c>
      <c r="G2" s="29">
        <v>44256</v>
      </c>
      <c r="H2" s="29">
        <v>44621</v>
      </c>
      <c r="I2" s="29">
        <v>44986</v>
      </c>
      <c r="J2" s="29">
        <v>45352</v>
      </c>
      <c r="K2" s="29">
        <v>45717</v>
      </c>
      <c r="L2" s="29">
        <v>46082</v>
      </c>
    </row>
    <row r="3" spans="2:12" x14ac:dyDescent="0.3">
      <c r="B3" t="s">
        <v>133</v>
      </c>
      <c r="C3" s="30">
        <v>7082</v>
      </c>
      <c r="D3" s="30">
        <v>3907</v>
      </c>
      <c r="E3" s="30">
        <v>2196</v>
      </c>
      <c r="F3" s="30">
        <v>6555</v>
      </c>
      <c r="G3" s="30">
        <v>6170</v>
      </c>
      <c r="H3" s="30">
        <v>8985</v>
      </c>
      <c r="I3" s="30">
        <v>4959</v>
      </c>
      <c r="J3" s="30">
        <v>12135</v>
      </c>
      <c r="K3" s="30">
        <v>14072</v>
      </c>
      <c r="L3" s="30">
        <v>12419</v>
      </c>
    </row>
    <row r="4" spans="2:12" x14ac:dyDescent="0.3">
      <c r="B4" t="s">
        <v>106</v>
      </c>
      <c r="C4" s="30">
        <v>9549</v>
      </c>
      <c r="D4" s="30">
        <v>4861</v>
      </c>
      <c r="E4" s="30">
        <v>5779</v>
      </c>
      <c r="F4" s="30">
        <v>7002</v>
      </c>
      <c r="G4" s="30">
        <v>4609</v>
      </c>
      <c r="H4" s="30">
        <v>6456</v>
      </c>
      <c r="I4" s="30">
        <v>12131</v>
      </c>
      <c r="J4" s="30">
        <v>12642</v>
      </c>
      <c r="K4" s="30">
        <v>14872</v>
      </c>
      <c r="L4" s="30">
        <v>16001</v>
      </c>
    </row>
    <row r="5" spans="2:12" x14ac:dyDescent="0.3">
      <c r="B5" t="s">
        <v>63</v>
      </c>
      <c r="C5">
        <v>-293</v>
      </c>
      <c r="D5">
        <v>-773</v>
      </c>
      <c r="E5">
        <v>-858</v>
      </c>
      <c r="F5">
        <v>-374</v>
      </c>
      <c r="G5">
        <v>94</v>
      </c>
      <c r="H5" s="30">
        <v>-1342</v>
      </c>
      <c r="I5">
        <v>-953</v>
      </c>
      <c r="J5">
        <v>353</v>
      </c>
      <c r="K5" s="30">
        <v>-1602</v>
      </c>
      <c r="L5" s="30">
        <v>-2009</v>
      </c>
    </row>
    <row r="6" spans="2:12" x14ac:dyDescent="0.3">
      <c r="B6" t="s">
        <v>43</v>
      </c>
      <c r="C6">
        <v>-345</v>
      </c>
      <c r="D6">
        <v>-4</v>
      </c>
      <c r="E6">
        <v>-709</v>
      </c>
      <c r="F6">
        <v>257</v>
      </c>
      <c r="G6" s="30">
        <v>-1080</v>
      </c>
      <c r="H6">
        <v>307</v>
      </c>
      <c r="I6" s="30">
        <v>-1202</v>
      </c>
      <c r="J6">
        <v>599</v>
      </c>
      <c r="K6">
        <v>-184</v>
      </c>
      <c r="L6">
        <v>-52</v>
      </c>
    </row>
    <row r="7" spans="2:12" x14ac:dyDescent="0.3">
      <c r="B7" t="s">
        <v>107</v>
      </c>
      <c r="C7">
        <v>735</v>
      </c>
      <c r="D7">
        <v>383</v>
      </c>
      <c r="E7">
        <v>-854</v>
      </c>
      <c r="F7">
        <v>-210</v>
      </c>
      <c r="G7">
        <v>381</v>
      </c>
      <c r="H7">
        <v>370</v>
      </c>
      <c r="I7" s="30">
        <v>1182</v>
      </c>
      <c r="J7">
        <v>250</v>
      </c>
      <c r="K7">
        <v>528</v>
      </c>
      <c r="L7" s="30">
        <v>1057</v>
      </c>
    </row>
    <row r="8" spans="2:12" x14ac:dyDescent="0.3">
      <c r="B8" t="s">
        <v>108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t="s">
        <v>109</v>
      </c>
      <c r="C9">
        <v>-506</v>
      </c>
      <c r="D9">
        <v>182</v>
      </c>
      <c r="E9">
        <v>-275</v>
      </c>
      <c r="F9" s="30">
        <v>1226</v>
      </c>
      <c r="G9" s="30">
        <v>3169</v>
      </c>
      <c r="H9" s="30">
        <v>2224</v>
      </c>
      <c r="I9" s="30">
        <v>-4689</v>
      </c>
      <c r="J9">
        <v>-139</v>
      </c>
      <c r="K9">
        <v>934</v>
      </c>
      <c r="L9">
        <v>-264</v>
      </c>
    </row>
    <row r="10" spans="2:12" x14ac:dyDescent="0.3">
      <c r="B10" t="s">
        <v>110</v>
      </c>
      <c r="C10">
        <v>-409</v>
      </c>
      <c r="D10">
        <v>-212</v>
      </c>
      <c r="E10" s="30">
        <v>-2696</v>
      </c>
      <c r="F10">
        <v>899</v>
      </c>
      <c r="G10" s="30">
        <v>2564</v>
      </c>
      <c r="H10" s="30">
        <v>1559</v>
      </c>
      <c r="I10" s="30">
        <v>-5662</v>
      </c>
      <c r="J10" s="30">
        <v>1062</v>
      </c>
      <c r="K10">
        <v>-324</v>
      </c>
      <c r="L10" s="30">
        <v>-1268</v>
      </c>
    </row>
    <row r="11" spans="2:12" x14ac:dyDescent="0.3">
      <c r="B11" t="s">
        <v>111</v>
      </c>
      <c r="C11" s="30">
        <v>-2057</v>
      </c>
      <c r="D11">
        <v>-742</v>
      </c>
      <c r="E11">
        <v>-886</v>
      </c>
      <c r="F11" s="30">
        <v>-1346</v>
      </c>
      <c r="G11" s="30">
        <v>-1003</v>
      </c>
      <c r="H11">
        <v>969</v>
      </c>
      <c r="I11" s="30">
        <v>-1510</v>
      </c>
      <c r="J11" s="30">
        <v>-1569</v>
      </c>
      <c r="K11">
        <v>-477</v>
      </c>
      <c r="L11" s="30">
        <v>-2314</v>
      </c>
    </row>
    <row r="12" spans="2:12" x14ac:dyDescent="0.3">
      <c r="B12" t="s">
        <v>134</v>
      </c>
      <c r="C12" s="30">
        <v>-4186</v>
      </c>
      <c r="D12" s="30">
        <v>-3104</v>
      </c>
      <c r="E12">
        <v>-310</v>
      </c>
      <c r="F12" s="30">
        <v>-2225</v>
      </c>
      <c r="G12">
        <v>407</v>
      </c>
      <c r="H12" s="30">
        <v>-5556</v>
      </c>
      <c r="I12" s="30">
        <v>-7220</v>
      </c>
      <c r="J12">
        <v>-763</v>
      </c>
      <c r="K12" s="30">
        <v>-5183</v>
      </c>
      <c r="L12" s="30">
        <v>-11344</v>
      </c>
    </row>
    <row r="13" spans="2:12" x14ac:dyDescent="0.3">
      <c r="B13" t="s">
        <v>112</v>
      </c>
      <c r="C13" s="30">
        <v>-3693</v>
      </c>
      <c r="D13" s="30">
        <v>-1961</v>
      </c>
      <c r="E13" s="30">
        <v>-3213</v>
      </c>
      <c r="F13" s="30">
        <v>-1542</v>
      </c>
      <c r="G13" s="30">
        <v>-1170</v>
      </c>
      <c r="H13" s="30">
        <v>-1495</v>
      </c>
      <c r="I13" s="30">
        <v>-2086</v>
      </c>
      <c r="J13" s="30">
        <v>-2202</v>
      </c>
      <c r="K13" s="30">
        <v>-2129</v>
      </c>
      <c r="L13" s="30">
        <v>-3609</v>
      </c>
    </row>
    <row r="14" spans="2:12" x14ac:dyDescent="0.3">
      <c r="B14" t="s">
        <v>113</v>
      </c>
      <c r="C14">
        <v>102</v>
      </c>
      <c r="D14">
        <v>66</v>
      </c>
      <c r="E14">
        <v>50</v>
      </c>
      <c r="F14">
        <v>92</v>
      </c>
      <c r="G14">
        <v>97</v>
      </c>
      <c r="H14">
        <v>61</v>
      </c>
      <c r="I14">
        <v>21</v>
      </c>
      <c r="J14">
        <v>31</v>
      </c>
      <c r="K14">
        <v>61</v>
      </c>
      <c r="L14">
        <v>96</v>
      </c>
    </row>
    <row r="15" spans="2:12" x14ac:dyDescent="0.3">
      <c r="B15" t="s">
        <v>114</v>
      </c>
      <c r="C15" s="30">
        <v>-38831</v>
      </c>
      <c r="D15" s="30">
        <v>-40587</v>
      </c>
      <c r="E15" s="30">
        <v>-35396</v>
      </c>
      <c r="F15" s="30">
        <v>-33445</v>
      </c>
      <c r="G15" s="30">
        <v>-18542</v>
      </c>
      <c r="H15" s="30">
        <v>-24135</v>
      </c>
      <c r="I15" s="30">
        <v>-21809</v>
      </c>
      <c r="J15" s="30">
        <v>-29004</v>
      </c>
      <c r="K15" s="30">
        <v>-32263</v>
      </c>
      <c r="L15" s="30">
        <v>-30804</v>
      </c>
    </row>
    <row r="16" spans="2:12" x14ac:dyDescent="0.3">
      <c r="B16" t="s">
        <v>115</v>
      </c>
      <c r="C16" s="30">
        <v>39194</v>
      </c>
      <c r="D16" s="30">
        <v>34992</v>
      </c>
      <c r="E16" s="30">
        <v>35207</v>
      </c>
      <c r="F16" s="30">
        <v>31894</v>
      </c>
      <c r="G16" s="30">
        <v>19709</v>
      </c>
      <c r="H16" s="30">
        <v>20702</v>
      </c>
      <c r="I16" s="30">
        <v>20897</v>
      </c>
      <c r="J16" s="30">
        <v>30094</v>
      </c>
      <c r="K16" s="30">
        <v>29418</v>
      </c>
      <c r="L16" s="30">
        <v>26167</v>
      </c>
    </row>
    <row r="17" spans="2:12" x14ac:dyDescent="0.3">
      <c r="B17" t="s">
        <v>116</v>
      </c>
      <c r="C17">
        <v>337</v>
      </c>
      <c r="D17">
        <v>510</v>
      </c>
      <c r="E17">
        <v>684</v>
      </c>
      <c r="F17">
        <v>338</v>
      </c>
      <c r="G17">
        <v>72</v>
      </c>
      <c r="H17">
        <v>76</v>
      </c>
      <c r="I17">
        <v>318</v>
      </c>
      <c r="J17">
        <v>613</v>
      </c>
      <c r="K17">
        <v>804</v>
      </c>
      <c r="L17">
        <v>705</v>
      </c>
    </row>
    <row r="18" spans="2:12" x14ac:dyDescent="0.3">
      <c r="B18" t="s">
        <v>117</v>
      </c>
      <c r="C18">
        <v>42</v>
      </c>
      <c r="D18">
        <v>37</v>
      </c>
      <c r="E18">
        <v>22</v>
      </c>
      <c r="F18">
        <v>56</v>
      </c>
      <c r="G18">
        <v>138</v>
      </c>
      <c r="H18">
        <v>134</v>
      </c>
      <c r="I18">
        <v>132</v>
      </c>
      <c r="J18">
        <v>99</v>
      </c>
      <c r="K18">
        <v>66</v>
      </c>
      <c r="L18">
        <v>59</v>
      </c>
    </row>
    <row r="19" spans="2:12" x14ac:dyDescent="0.3">
      <c r="B19" t="s">
        <v>118</v>
      </c>
      <c r="C19">
        <v>0</v>
      </c>
      <c r="D19">
        <v>0</v>
      </c>
      <c r="E19">
        <v>0</v>
      </c>
      <c r="F19">
        <v>0</v>
      </c>
      <c r="G19">
        <v>0</v>
      </c>
      <c r="H19">
        <v>-15</v>
      </c>
      <c r="I19">
        <v>-155</v>
      </c>
      <c r="J19">
        <v>-87</v>
      </c>
      <c r="K19">
        <v>-46</v>
      </c>
      <c r="L19">
        <v>0</v>
      </c>
    </row>
    <row r="20" spans="2:12" x14ac:dyDescent="0.3">
      <c r="B20" t="s">
        <v>119</v>
      </c>
      <c r="C20">
        <v>0</v>
      </c>
      <c r="D20">
        <v>0</v>
      </c>
      <c r="E20">
        <v>0</v>
      </c>
      <c r="F20">
        <v>0</v>
      </c>
      <c r="G20">
        <v>0</v>
      </c>
      <c r="H20">
        <v>24</v>
      </c>
      <c r="I20">
        <v>0</v>
      </c>
      <c r="J20">
        <v>0</v>
      </c>
      <c r="K20">
        <v>0</v>
      </c>
      <c r="L20">
        <v>0</v>
      </c>
    </row>
    <row r="21" spans="2:12" x14ac:dyDescent="0.3">
      <c r="B21" t="s">
        <v>120</v>
      </c>
      <c r="C21">
        <v>-167</v>
      </c>
      <c r="D21">
        <v>-86</v>
      </c>
      <c r="E21">
        <v>-23</v>
      </c>
      <c r="F21">
        <v>0</v>
      </c>
      <c r="G21">
        <v>-62</v>
      </c>
      <c r="H21">
        <v>-740</v>
      </c>
      <c r="I21" s="30">
        <v>-4686</v>
      </c>
      <c r="J21">
        <v>-143</v>
      </c>
      <c r="K21">
        <v>-273</v>
      </c>
      <c r="L21" s="30">
        <v>-3405</v>
      </c>
    </row>
    <row r="22" spans="2:12" x14ac:dyDescent="0.3">
      <c r="B22" t="s">
        <v>122</v>
      </c>
      <c r="C22" s="30">
        <v>-1170</v>
      </c>
      <c r="D22" s="30">
        <v>3923</v>
      </c>
      <c r="E22" s="30">
        <v>2357</v>
      </c>
      <c r="F22">
        <v>382</v>
      </c>
      <c r="G22">
        <v>165</v>
      </c>
      <c r="H22">
        <v>-167</v>
      </c>
      <c r="I22">
        <v>148</v>
      </c>
      <c r="J22">
        <v>-164</v>
      </c>
      <c r="K22">
        <v>-821</v>
      </c>
      <c r="L22">
        <v>-553</v>
      </c>
    </row>
    <row r="23" spans="2:12" x14ac:dyDescent="0.3">
      <c r="B23" t="s">
        <v>135</v>
      </c>
      <c r="C23" s="30">
        <v>-2285</v>
      </c>
      <c r="D23" s="30">
        <v>-1539</v>
      </c>
      <c r="E23" s="30">
        <v>-2731</v>
      </c>
      <c r="F23" s="30">
        <v>-5715</v>
      </c>
      <c r="G23" s="30">
        <v>-5980</v>
      </c>
      <c r="H23" s="30">
        <v>-5193</v>
      </c>
      <c r="I23" s="30">
        <v>2376</v>
      </c>
      <c r="J23" s="30">
        <v>-6710</v>
      </c>
      <c r="K23" s="30">
        <v>-7906</v>
      </c>
      <c r="L23" s="30">
        <v>-2513</v>
      </c>
    </row>
    <row r="24" spans="2:12" x14ac:dyDescent="0.3">
      <c r="B24" t="s">
        <v>123</v>
      </c>
      <c r="C24">
        <v>2</v>
      </c>
      <c r="D24">
        <v>1</v>
      </c>
      <c r="E24">
        <v>0</v>
      </c>
      <c r="F24">
        <v>0</v>
      </c>
      <c r="G24">
        <v>425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2:12" x14ac:dyDescent="0.3">
      <c r="B25" t="s">
        <v>125</v>
      </c>
      <c r="C25">
        <v>0</v>
      </c>
      <c r="D25">
        <v>0</v>
      </c>
      <c r="E25" s="30">
        <v>17698</v>
      </c>
      <c r="F25" s="30">
        <v>10552</v>
      </c>
      <c r="G25" s="30">
        <v>6603</v>
      </c>
      <c r="H25" s="30">
        <v>1763</v>
      </c>
      <c r="I25" s="30">
        <v>8160</v>
      </c>
      <c r="J25" s="30">
        <v>4573</v>
      </c>
      <c r="K25" s="30">
        <v>3362</v>
      </c>
      <c r="L25" s="30">
        <v>5322</v>
      </c>
    </row>
    <row r="26" spans="2:12" x14ac:dyDescent="0.3">
      <c r="B26" t="s">
        <v>126</v>
      </c>
      <c r="C26">
        <v>0</v>
      </c>
      <c r="D26">
        <v>0</v>
      </c>
      <c r="E26" s="30">
        <v>-16807</v>
      </c>
      <c r="F26" s="30">
        <v>-13893</v>
      </c>
      <c r="G26" s="30">
        <v>-10802</v>
      </c>
      <c r="H26" s="30">
        <v>-4400</v>
      </c>
      <c r="I26" s="30">
        <v>-3030</v>
      </c>
      <c r="J26" s="30">
        <v>-7963</v>
      </c>
      <c r="K26" s="30">
        <v>-4392</v>
      </c>
      <c r="L26" s="30">
        <v>-3410</v>
      </c>
    </row>
    <row r="27" spans="2:12" x14ac:dyDescent="0.3">
      <c r="B27" t="s">
        <v>127</v>
      </c>
      <c r="C27">
        <v>-334</v>
      </c>
      <c r="D27">
        <v>-477</v>
      </c>
      <c r="E27">
        <v>-461</v>
      </c>
      <c r="F27">
        <v>-272</v>
      </c>
      <c r="G27">
        <v>-144</v>
      </c>
      <c r="H27">
        <v>-73</v>
      </c>
      <c r="I27">
        <v>-132</v>
      </c>
      <c r="J27">
        <v>-219</v>
      </c>
      <c r="K27">
        <v>-224</v>
      </c>
      <c r="L27">
        <v>0</v>
      </c>
    </row>
    <row r="28" spans="2:12" x14ac:dyDescent="0.3">
      <c r="B28" t="s">
        <v>128</v>
      </c>
      <c r="C28">
        <v>-243</v>
      </c>
      <c r="D28">
        <v>-813</v>
      </c>
      <c r="E28" s="30">
        <v>-1326</v>
      </c>
      <c r="F28" s="30">
        <v>-1399</v>
      </c>
      <c r="G28" s="30">
        <v>-1586</v>
      </c>
      <c r="H28" s="30">
        <v>-2169</v>
      </c>
      <c r="I28" s="30">
        <v>-2520</v>
      </c>
      <c r="J28" s="30">
        <v>-2901</v>
      </c>
      <c r="K28" s="30">
        <v>-3617</v>
      </c>
      <c r="L28" s="30">
        <v>-3938</v>
      </c>
    </row>
    <row r="29" spans="2:12" x14ac:dyDescent="0.3">
      <c r="B29" t="s">
        <v>129</v>
      </c>
      <c r="C29">
        <v>0</v>
      </c>
      <c r="D29">
        <v>0</v>
      </c>
      <c r="E29">
        <v>0</v>
      </c>
      <c r="F29">
        <v>0</v>
      </c>
      <c r="G29">
        <v>-118</v>
      </c>
      <c r="H29">
        <v>-129</v>
      </c>
      <c r="I29">
        <v>-101</v>
      </c>
      <c r="J29">
        <v>-123</v>
      </c>
      <c r="K29">
        <v>-135</v>
      </c>
      <c r="L29">
        <v>-483</v>
      </c>
    </row>
    <row r="30" spans="2:12" x14ac:dyDescent="0.3">
      <c r="B30" t="s">
        <v>130</v>
      </c>
      <c r="C30" s="30">
        <v>-1711</v>
      </c>
      <c r="D30">
        <v>-250</v>
      </c>
      <c r="E30" s="30">
        <v>-1835</v>
      </c>
      <c r="F30">
        <v>-702</v>
      </c>
      <c r="G30">
        <v>-358</v>
      </c>
      <c r="H30">
        <v>-186</v>
      </c>
      <c r="I30">
        <v>0</v>
      </c>
      <c r="J30">
        <v>-77</v>
      </c>
      <c r="K30" s="30">
        <v>-2900</v>
      </c>
      <c r="L30">
        <v>-4</v>
      </c>
    </row>
    <row r="31" spans="2:12" x14ac:dyDescent="0.3">
      <c r="B31" t="s">
        <v>34</v>
      </c>
      <c r="C31">
        <v>611</v>
      </c>
      <c r="D31">
        <v>-736</v>
      </c>
      <c r="E31">
        <v>-844</v>
      </c>
      <c r="F31" s="30">
        <v>-1386</v>
      </c>
      <c r="G31">
        <v>596</v>
      </c>
      <c r="H31" s="30">
        <v>-1765</v>
      </c>
      <c r="I31">
        <v>115</v>
      </c>
      <c r="J31" s="30">
        <v>4662</v>
      </c>
      <c r="K31">
        <v>983</v>
      </c>
      <c r="L31" s="30">
        <v>-1437</v>
      </c>
    </row>
    <row r="32" spans="2:12" x14ac:dyDescent="0.3">
      <c r="B32" t="s">
        <v>131</v>
      </c>
      <c r="C32" s="30">
        <v>3492</v>
      </c>
      <c r="D32" s="30">
        <v>2013</v>
      </c>
      <c r="E32">
        <v>-966</v>
      </c>
      <c r="F32" s="30">
        <v>5105</v>
      </c>
      <c r="G32" s="30">
        <v>5097</v>
      </c>
      <c r="H32" s="30">
        <v>7550</v>
      </c>
      <c r="I32" s="30">
        <v>2895</v>
      </c>
      <c r="J32" s="30">
        <v>9964</v>
      </c>
      <c r="K32" s="30">
        <v>12005</v>
      </c>
      <c r="L32" s="30">
        <v>8906</v>
      </c>
    </row>
    <row r="33" spans="2:12" x14ac:dyDescent="0.3">
      <c r="B33" t="s">
        <v>132</v>
      </c>
      <c r="C33" s="31">
        <v>0.9</v>
      </c>
      <c r="D33" s="31">
        <v>0.83</v>
      </c>
      <c r="E33" s="31">
        <v>0.48</v>
      </c>
      <c r="F33" s="31">
        <v>1.1299999999999999</v>
      </c>
      <c r="G33" s="31">
        <v>0.85</v>
      </c>
      <c r="H33" s="31">
        <v>0.78</v>
      </c>
      <c r="I33" s="31">
        <v>0.56000000000000005</v>
      </c>
      <c r="J33" s="31">
        <v>1.05</v>
      </c>
      <c r="K33" s="31">
        <v>0.96</v>
      </c>
      <c r="L33" s="31">
        <v>0.83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B22F-B23A-45AF-AD35-73AA665DE67A}">
  <sheetPr>
    <tabColor theme="7" tint="0.39997558519241921"/>
  </sheetPr>
  <dimension ref="B1:O27"/>
  <sheetViews>
    <sheetView showGridLines="0" zoomScaleNormal="100" workbookViewId="0">
      <selection activeCell="D22" sqref="D22"/>
    </sheetView>
  </sheetViews>
  <sheetFormatPr defaultRowHeight="14.4" x14ac:dyDescent="0.3"/>
  <cols>
    <col min="1" max="1" width="1.88671875" customWidth="1"/>
    <col min="2" max="2" width="11.33203125" bestFit="1" customWidth="1"/>
    <col min="3" max="3" width="9.109375" customWidth="1"/>
    <col min="4" max="4" width="11.77734375" customWidth="1"/>
    <col min="5" max="5" width="11.6640625" customWidth="1"/>
    <col min="6" max="6" width="9.77734375" bestFit="1" customWidth="1"/>
    <col min="7" max="7" width="17.44140625" bestFit="1" customWidth="1"/>
    <col min="8" max="8" width="12" bestFit="1" customWidth="1"/>
    <col min="9" max="9" width="13.44140625" bestFit="1" customWidth="1"/>
    <col min="10" max="11" width="12" bestFit="1" customWidth="1"/>
    <col min="12" max="12" width="12.44140625" bestFit="1" customWidth="1"/>
    <col min="13" max="13" width="12" bestFit="1" customWidth="1"/>
    <col min="14" max="15" width="12.109375" bestFit="1" customWidth="1"/>
  </cols>
  <sheetData>
    <row r="1" spans="2:14" x14ac:dyDescent="0.3">
      <c r="B1" s="172" t="s">
        <v>182</v>
      </c>
      <c r="C1" s="172"/>
      <c r="D1" s="172"/>
      <c r="E1" s="172"/>
    </row>
    <row r="2" spans="2:14" x14ac:dyDescent="0.3">
      <c r="B2" s="55" t="s">
        <v>180</v>
      </c>
      <c r="C2" s="56" t="s">
        <v>181</v>
      </c>
      <c r="D2" s="56" t="s">
        <v>6</v>
      </c>
      <c r="E2" s="56" t="s">
        <v>22</v>
      </c>
      <c r="F2" s="29"/>
      <c r="G2" s="29"/>
      <c r="H2" s="29"/>
      <c r="I2" s="29"/>
      <c r="J2" s="29"/>
      <c r="K2" s="29"/>
      <c r="L2" s="29"/>
      <c r="M2" s="29"/>
      <c r="N2" s="29"/>
    </row>
    <row r="3" spans="2:14" x14ac:dyDescent="0.3">
      <c r="B3" s="57">
        <v>1</v>
      </c>
      <c r="C3" s="58">
        <v>2015</v>
      </c>
      <c r="D3" s="65">
        <v>263159</v>
      </c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2:14" x14ac:dyDescent="0.3">
      <c r="B4" s="57">
        <f>B3+1</f>
        <v>2</v>
      </c>
      <c r="C4" s="58">
        <f t="shared" ref="C4:C14" si="0">C3+1</f>
        <v>2016</v>
      </c>
      <c r="D4" s="65">
        <v>273046</v>
      </c>
      <c r="E4" s="26">
        <f>D4/D3-1</f>
        <v>3.757044220414274E-2</v>
      </c>
    </row>
    <row r="5" spans="2:14" x14ac:dyDescent="0.3">
      <c r="B5" s="57">
        <f t="shared" ref="B5:B14" si="1">B4+1</f>
        <v>3</v>
      </c>
      <c r="C5" s="58">
        <f t="shared" si="0"/>
        <v>2017</v>
      </c>
      <c r="D5" s="65">
        <v>269693</v>
      </c>
      <c r="E5" s="26">
        <f t="shared" ref="E5:E19" si="2">D5/D4-1</f>
        <v>-1.2279982127553546E-2</v>
      </c>
    </row>
    <row r="6" spans="2:14" x14ac:dyDescent="0.3">
      <c r="B6" s="57">
        <f t="shared" si="1"/>
        <v>4</v>
      </c>
      <c r="C6" s="58">
        <f t="shared" si="0"/>
        <v>2018</v>
      </c>
      <c r="D6" s="65">
        <v>291550</v>
      </c>
      <c r="E6" s="26">
        <f t="shared" si="2"/>
        <v>8.1044001883623151E-2</v>
      </c>
    </row>
    <row r="7" spans="2:14" x14ac:dyDescent="0.3">
      <c r="B7" s="57">
        <f t="shared" si="1"/>
        <v>5</v>
      </c>
      <c r="C7" s="58">
        <f t="shared" si="0"/>
        <v>2019</v>
      </c>
      <c r="D7" s="65">
        <v>301938</v>
      </c>
      <c r="E7" s="26">
        <f t="shared" si="2"/>
        <v>3.5630252100840254E-2</v>
      </c>
      <c r="F7" t="s">
        <v>207</v>
      </c>
    </row>
    <row r="8" spans="2:14" x14ac:dyDescent="0.3">
      <c r="B8" s="57">
        <f t="shared" si="1"/>
        <v>6</v>
      </c>
      <c r="C8" s="58">
        <f t="shared" si="0"/>
        <v>2020</v>
      </c>
      <c r="D8" s="65">
        <v>261068</v>
      </c>
      <c r="E8" s="26">
        <f t="shared" si="2"/>
        <v>-0.13535891474408657</v>
      </c>
    </row>
    <row r="9" spans="2:14" x14ac:dyDescent="0.3">
      <c r="B9" s="57">
        <f t="shared" si="1"/>
        <v>7</v>
      </c>
      <c r="C9" s="58">
        <f t="shared" si="0"/>
        <v>2021</v>
      </c>
      <c r="D9" s="65">
        <v>249795</v>
      </c>
      <c r="E9" s="26">
        <f t="shared" si="2"/>
        <v>-4.3180320835950803E-2</v>
      </c>
    </row>
    <row r="10" spans="2:14" x14ac:dyDescent="0.3">
      <c r="B10" s="57">
        <f t="shared" si="1"/>
        <v>8</v>
      </c>
      <c r="C10" s="58">
        <f t="shared" si="0"/>
        <v>2022</v>
      </c>
      <c r="D10" s="65">
        <v>278454</v>
      </c>
      <c r="E10" s="26">
        <f t="shared" si="2"/>
        <v>0.11473007866450491</v>
      </c>
      <c r="G10" t="s">
        <v>183</v>
      </c>
    </row>
    <row r="11" spans="2:14" ht="15" thickBot="1" x14ac:dyDescent="0.35">
      <c r="B11" s="57">
        <f t="shared" si="1"/>
        <v>9</v>
      </c>
      <c r="C11" s="58">
        <f t="shared" si="0"/>
        <v>2023</v>
      </c>
      <c r="D11" s="65">
        <v>345967</v>
      </c>
      <c r="E11" s="26">
        <f t="shared" si="2"/>
        <v>0.24245656374122837</v>
      </c>
    </row>
    <row r="12" spans="2:14" x14ac:dyDescent="0.3">
      <c r="B12" s="57">
        <f t="shared" si="1"/>
        <v>10</v>
      </c>
      <c r="C12" s="58">
        <f t="shared" si="0"/>
        <v>2024</v>
      </c>
      <c r="D12" s="65">
        <v>434016</v>
      </c>
      <c r="E12" s="26">
        <f t="shared" si="2"/>
        <v>0.25450115184396194</v>
      </c>
      <c r="G12" s="62" t="s">
        <v>184</v>
      </c>
      <c r="H12" s="62"/>
    </row>
    <row r="13" spans="2:14" x14ac:dyDescent="0.3">
      <c r="B13" s="57">
        <f t="shared" si="1"/>
        <v>11</v>
      </c>
      <c r="C13" s="58">
        <f t="shared" si="0"/>
        <v>2025</v>
      </c>
      <c r="D13" s="65">
        <v>439695</v>
      </c>
      <c r="E13" s="26">
        <f t="shared" si="2"/>
        <v>1.3084771068347711E-2</v>
      </c>
      <c r="G13" t="s">
        <v>185</v>
      </c>
      <c r="H13">
        <v>0.7036846768611823</v>
      </c>
    </row>
    <row r="14" spans="2:14" x14ac:dyDescent="0.3">
      <c r="B14" s="57">
        <f t="shared" si="1"/>
        <v>12</v>
      </c>
      <c r="C14" s="58">
        <f t="shared" si="0"/>
        <v>2026</v>
      </c>
      <c r="D14" s="65">
        <v>335582</v>
      </c>
      <c r="E14" s="26">
        <f t="shared" si="2"/>
        <v>-0.23678458931759516</v>
      </c>
      <c r="G14" t="s">
        <v>186</v>
      </c>
      <c r="H14">
        <v>0.49517212444922659</v>
      </c>
      <c r="I14" s="63" t="s">
        <v>206</v>
      </c>
      <c r="J14" s="63"/>
      <c r="K14" s="63"/>
    </row>
    <row r="15" spans="2:14" x14ac:dyDescent="0.3">
      <c r="B15" s="57">
        <f t="shared" ref="B15:B18" si="3">B14+1</f>
        <v>13</v>
      </c>
      <c r="C15" s="59">
        <f t="shared" ref="C15:C18" si="4">C14+1</f>
        <v>2027</v>
      </c>
      <c r="D15" s="64">
        <f>FORECAST(B15,$D$3:$D$14,$B$3:$B$14)</f>
        <v>394658.62121212122</v>
      </c>
      <c r="E15" s="26">
        <f t="shared" si="2"/>
        <v>0.17604228239929798</v>
      </c>
      <c r="G15" t="s">
        <v>187</v>
      </c>
      <c r="H15">
        <v>0.44468933689414925</v>
      </c>
    </row>
    <row r="16" spans="2:14" x14ac:dyDescent="0.3">
      <c r="B16" s="57">
        <f t="shared" si="3"/>
        <v>14</v>
      </c>
      <c r="C16" s="59">
        <f t="shared" si="4"/>
        <v>2028</v>
      </c>
      <c r="D16" s="64">
        <f t="shared" ref="D16:D19" si="5">FORECAST(B16,$D$3:$D$14,$B$3:$B$14)</f>
        <v>407375.80652680655</v>
      </c>
      <c r="E16" s="26">
        <f t="shared" si="2"/>
        <v>3.2223254811023283E-2</v>
      </c>
      <c r="G16" t="s">
        <v>188</v>
      </c>
      <c r="H16">
        <v>48557.082904562776</v>
      </c>
    </row>
    <row r="17" spans="2:15" ht="15" thickBot="1" x14ac:dyDescent="0.35">
      <c r="B17" s="57">
        <f t="shared" si="3"/>
        <v>15</v>
      </c>
      <c r="C17" s="59">
        <f t="shared" si="4"/>
        <v>2029</v>
      </c>
      <c r="D17" s="64">
        <f t="shared" si="5"/>
        <v>420092.99184149189</v>
      </c>
      <c r="E17" s="26">
        <f t="shared" si="2"/>
        <v>3.1217330805943355E-2</v>
      </c>
      <c r="G17" s="60" t="s">
        <v>189</v>
      </c>
      <c r="H17" s="60">
        <v>12</v>
      </c>
    </row>
    <row r="18" spans="2:15" x14ac:dyDescent="0.3">
      <c r="B18" s="57">
        <f t="shared" si="3"/>
        <v>16</v>
      </c>
      <c r="C18" s="59">
        <f t="shared" si="4"/>
        <v>2030</v>
      </c>
      <c r="D18" s="64">
        <f t="shared" si="5"/>
        <v>432810.17715617723</v>
      </c>
      <c r="E18" s="26">
        <f t="shared" si="2"/>
        <v>3.027231008767628E-2</v>
      </c>
    </row>
    <row r="19" spans="2:15" ht="15" thickBot="1" x14ac:dyDescent="0.35">
      <c r="B19" s="57">
        <f t="shared" ref="B19" si="6">B18+1</f>
        <v>17</v>
      </c>
      <c r="C19" s="59">
        <f t="shared" ref="C19" si="7">C18+1</f>
        <v>2031</v>
      </c>
      <c r="D19" s="64">
        <f t="shared" si="5"/>
        <v>445527.36247086251</v>
      </c>
      <c r="E19" s="26">
        <f t="shared" si="2"/>
        <v>2.9382824124526863E-2</v>
      </c>
      <c r="G19" t="s">
        <v>190</v>
      </c>
    </row>
    <row r="20" spans="2:15" x14ac:dyDescent="0.3">
      <c r="G20" s="61"/>
      <c r="H20" s="61" t="s">
        <v>194</v>
      </c>
      <c r="I20" s="61" t="s">
        <v>195</v>
      </c>
      <c r="J20" s="61" t="s">
        <v>196</v>
      </c>
      <c r="K20" s="61" t="s">
        <v>197</v>
      </c>
      <c r="L20" s="61" t="s">
        <v>198</v>
      </c>
    </row>
    <row r="21" spans="2:15" x14ac:dyDescent="0.3">
      <c r="G21" t="s">
        <v>191</v>
      </c>
      <c r="H21">
        <v>1</v>
      </c>
      <c r="I21">
        <v>23126932732.910839</v>
      </c>
      <c r="J21">
        <v>23126932732.910839</v>
      </c>
      <c r="K21">
        <v>9.8087318159479153</v>
      </c>
      <c r="L21">
        <v>1.0656180340222358E-2</v>
      </c>
    </row>
    <row r="22" spans="2:15" x14ac:dyDescent="0.3">
      <c r="B22" s="57">
        <v>13</v>
      </c>
      <c r="C22" s="59">
        <v>2027</v>
      </c>
      <c r="D22" s="64">
        <v>394658.62121212122</v>
      </c>
      <c r="E22" s="26">
        <v>0.17604228239929798</v>
      </c>
      <c r="G22" t="s">
        <v>192</v>
      </c>
      <c r="H22">
        <v>10</v>
      </c>
      <c r="I22">
        <v>23577903002.005825</v>
      </c>
      <c r="J22">
        <v>2357790300.2005825</v>
      </c>
    </row>
    <row r="23" spans="2:15" ht="15" thickBot="1" x14ac:dyDescent="0.35">
      <c r="B23" s="57">
        <v>14</v>
      </c>
      <c r="C23" s="59">
        <v>2028</v>
      </c>
      <c r="D23" s="64">
        <v>407375.80652680655</v>
      </c>
      <c r="E23" s="26">
        <v>3.2223254811023283E-2</v>
      </c>
      <c r="G23" s="60" t="s">
        <v>26</v>
      </c>
      <c r="H23" s="60">
        <v>11</v>
      </c>
      <c r="I23" s="60">
        <v>46704835734.916664</v>
      </c>
      <c r="J23" s="60"/>
      <c r="K23" s="60"/>
      <c r="L23" s="60"/>
    </row>
    <row r="24" spans="2:15" ht="15" thickBot="1" x14ac:dyDescent="0.35">
      <c r="B24" s="57">
        <v>15</v>
      </c>
      <c r="C24" s="59">
        <v>2029</v>
      </c>
      <c r="D24" s="64">
        <v>420092.99184149189</v>
      </c>
      <c r="E24" s="26">
        <v>3.1217330805943355E-2</v>
      </c>
    </row>
    <row r="25" spans="2:15" x14ac:dyDescent="0.3">
      <c r="B25" s="57">
        <v>16</v>
      </c>
      <c r="C25" s="59">
        <v>2030</v>
      </c>
      <c r="D25" s="64">
        <v>432810.17715617723</v>
      </c>
      <c r="E25" s="26">
        <v>3.027231008767628E-2</v>
      </c>
      <c r="G25" s="61"/>
      <c r="H25" s="61" t="s">
        <v>199</v>
      </c>
      <c r="I25" s="61" t="s">
        <v>188</v>
      </c>
      <c r="J25" s="61" t="s">
        <v>200</v>
      </c>
      <c r="K25" s="61" t="s">
        <v>201</v>
      </c>
      <c r="L25" s="61" t="s">
        <v>202</v>
      </c>
      <c r="M25" s="61" t="s">
        <v>203</v>
      </c>
      <c r="N25" s="61" t="s">
        <v>204</v>
      </c>
      <c r="O25" s="61" t="s">
        <v>205</v>
      </c>
    </row>
    <row r="26" spans="2:15" x14ac:dyDescent="0.3">
      <c r="B26" s="57">
        <v>17</v>
      </c>
      <c r="C26" s="59">
        <v>2031</v>
      </c>
      <c r="D26" s="64">
        <v>445527.36247086251</v>
      </c>
      <c r="E26" s="26">
        <v>2.9382824124526863E-2</v>
      </c>
      <c r="G26" t="s">
        <v>193</v>
      </c>
      <c r="H26">
        <v>229335.2121212121</v>
      </c>
      <c r="I26">
        <v>29884.818661648504</v>
      </c>
      <c r="J26">
        <v>7.6739703431936945</v>
      </c>
      <c r="K26">
        <v>1.6920325912305692E-5</v>
      </c>
      <c r="L26">
        <v>162747.68657662859</v>
      </c>
      <c r="M26">
        <v>295922.7376657956</v>
      </c>
      <c r="N26">
        <v>162747.68657662859</v>
      </c>
      <c r="O26">
        <v>295922.7376657956</v>
      </c>
    </row>
    <row r="27" spans="2:15" ht="15" thickBot="1" x14ac:dyDescent="0.35">
      <c r="G27" s="60" t="s">
        <v>180</v>
      </c>
      <c r="H27" s="60">
        <v>12717.185314685319</v>
      </c>
      <c r="I27" s="60">
        <v>4060.5472608192522</v>
      </c>
      <c r="J27" s="60">
        <v>3.1318894961265671</v>
      </c>
      <c r="K27" s="60">
        <v>1.0656180340222346E-2</v>
      </c>
      <c r="L27" s="60">
        <v>3669.7222025274987</v>
      </c>
      <c r="M27" s="60">
        <v>21764.648426843138</v>
      </c>
      <c r="N27" s="60">
        <v>3669.7222025274987</v>
      </c>
      <c r="O27" s="60">
        <v>21764.648426843138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FFD4-C53D-46A8-B63B-4311C9D07FB8}">
  <sheetPr>
    <tabColor theme="6" tint="0.79998168889431442"/>
  </sheetPr>
  <dimension ref="B2:O20"/>
  <sheetViews>
    <sheetView showGridLines="0" workbookViewId="0">
      <selection activeCell="M24" sqref="M24"/>
    </sheetView>
  </sheetViews>
  <sheetFormatPr defaultRowHeight="14.4" x14ac:dyDescent="0.3"/>
  <cols>
    <col min="1" max="1" width="1.88671875" customWidth="1"/>
    <col min="2" max="2" width="11.44140625" customWidth="1"/>
    <col min="3" max="3" width="9.6640625" bestFit="1" customWidth="1"/>
    <col min="4" max="4" width="13.33203125" customWidth="1"/>
    <col min="5" max="5" width="16.5546875" customWidth="1"/>
    <col min="6" max="6" width="2.77734375" customWidth="1"/>
    <col min="7" max="7" width="11.109375" bestFit="1" customWidth="1"/>
    <col min="8" max="8" width="6.109375" bestFit="1" customWidth="1"/>
    <col min="9" max="9" width="12" customWidth="1"/>
    <col min="10" max="10" width="13.44140625" customWidth="1"/>
    <col min="11" max="11" width="2.77734375" customWidth="1"/>
    <col min="13" max="13" width="10.33203125" customWidth="1"/>
    <col min="14" max="14" width="9.88671875" customWidth="1"/>
    <col min="15" max="15" width="16.77734375" customWidth="1"/>
  </cols>
  <sheetData>
    <row r="2" spans="2:15" x14ac:dyDescent="0.3">
      <c r="B2" s="173" t="str">
        <f>'Data Sheet'!$B$1&amp;" - "&amp;'Data Sheet'!$A$17&amp;" Forecasting"</f>
        <v>SUN PHARMACEUTICAL INDUSTRIES LTD - Sales Forecasting</v>
      </c>
      <c r="C2" s="173"/>
      <c r="D2" s="173"/>
      <c r="E2" s="173"/>
      <c r="G2" s="173" t="str">
        <f>'Data Sheet'!$B$1&amp;" - "&amp;HistoricalFS!B18&amp;" Forecasting"</f>
        <v>SUN PHARMACEUTICAL INDUSTRIES LTD - EBITDA Forecasting</v>
      </c>
      <c r="H2" s="173"/>
      <c r="I2" s="173"/>
      <c r="J2" s="173"/>
      <c r="L2" s="173" t="str">
        <f>'Data Sheet'!$B$1&amp;" - "&amp;HistoricalFS!B43&amp;" Forecasting"</f>
        <v>SUN PHARMACEUTICAL INDUSTRIES LTD - EPS Forecasting</v>
      </c>
      <c r="M2" s="173"/>
      <c r="N2" s="173"/>
      <c r="O2" s="173"/>
    </row>
    <row r="3" spans="2:15" x14ac:dyDescent="0.3">
      <c r="B3" s="55" t="s">
        <v>180</v>
      </c>
      <c r="C3" s="56" t="s">
        <v>181</v>
      </c>
      <c r="D3" s="68" t="s">
        <v>6</v>
      </c>
      <c r="E3" s="68" t="s">
        <v>22</v>
      </c>
      <c r="G3" s="55" t="s">
        <v>180</v>
      </c>
      <c r="H3" s="56" t="s">
        <v>181</v>
      </c>
      <c r="I3" s="68" t="s">
        <v>83</v>
      </c>
      <c r="J3" s="68" t="s">
        <v>145</v>
      </c>
      <c r="L3" s="55" t="s">
        <v>180</v>
      </c>
      <c r="M3" s="56" t="s">
        <v>181</v>
      </c>
      <c r="N3" s="68" t="s">
        <v>44</v>
      </c>
      <c r="O3" s="68" t="s">
        <v>209</v>
      </c>
    </row>
    <row r="4" spans="2:15" x14ac:dyDescent="0.3">
      <c r="B4" s="57">
        <v>1</v>
      </c>
      <c r="C4" s="66">
        <f>'Data Sheet'!$B$16</f>
        <v>42825</v>
      </c>
      <c r="D4" s="64">
        <f t="array" ref="D4:D13">TRANSPOSE('Data Sheet'!B17:K17)</f>
        <v>31578.44</v>
      </c>
      <c r="G4" s="57">
        <v>1</v>
      </c>
      <c r="H4" s="66">
        <f>'Data Sheet'!$B$16</f>
        <v>42825</v>
      </c>
      <c r="I4" s="64">
        <f t="array" ref="I4:I13">TRANSPOSE(HistoricalFS!C18:L18)</f>
        <v>10102.019999999997</v>
      </c>
      <c r="L4" s="57">
        <v>1</v>
      </c>
      <c r="M4" s="66">
        <f>'Data Sheet'!$B$16</f>
        <v>42825</v>
      </c>
      <c r="N4" s="64">
        <f t="array" ref="N4:N13">TRANSPOSE(HistoricalFS!C43:L43)</f>
        <v>32.660776059684061</v>
      </c>
    </row>
    <row r="5" spans="2:15" x14ac:dyDescent="0.3">
      <c r="B5" s="57">
        <f>B4+1</f>
        <v>2</v>
      </c>
      <c r="C5" s="66">
        <f>C4+365</f>
        <v>43190</v>
      </c>
      <c r="D5" s="64">
        <v>26489.46</v>
      </c>
      <c r="E5" s="26">
        <f>D5/D4-1</f>
        <v>-0.16115362253486876</v>
      </c>
      <c r="G5" s="57">
        <f>G4+1</f>
        <v>2</v>
      </c>
      <c r="H5" s="66">
        <f>H4+365</f>
        <v>43190</v>
      </c>
      <c r="I5" s="64">
        <v>5631.42</v>
      </c>
      <c r="J5" s="26">
        <f>I5/I4-1</f>
        <v>-0.44254515433546937</v>
      </c>
      <c r="L5" s="57">
        <f>L4+1</f>
        <v>2</v>
      </c>
      <c r="M5" s="66">
        <f>M4+365</f>
        <v>43190</v>
      </c>
      <c r="N5" s="64">
        <v>10.702871670904013</v>
      </c>
      <c r="O5" s="26">
        <f>N5/N4-1</f>
        <v>-0.67230197925041146</v>
      </c>
    </row>
    <row r="6" spans="2:15" x14ac:dyDescent="0.3">
      <c r="B6" s="57">
        <f t="shared" ref="B6:B18" si="0">B5+1</f>
        <v>3</v>
      </c>
      <c r="C6" s="66">
        <f t="shared" ref="C6:C18" si="1">C5+365</f>
        <v>43555</v>
      </c>
      <c r="D6" s="64">
        <v>29065.91</v>
      </c>
      <c r="E6" s="26">
        <f t="shared" ref="E6:E18" si="2">D6/D5-1</f>
        <v>9.7263213368637969E-2</v>
      </c>
      <c r="G6" s="57">
        <f t="shared" ref="G6:G18" si="3">G5+1</f>
        <v>3</v>
      </c>
      <c r="H6" s="66">
        <f t="shared" ref="H6:H18" si="4">H5+365</f>
        <v>43555</v>
      </c>
      <c r="I6" s="64">
        <v>6376.9800000000014</v>
      </c>
      <c r="J6" s="26">
        <f t="shared" ref="J6:J18" si="5">I6/I5-1</f>
        <v>0.13239289557518386</v>
      </c>
      <c r="L6" s="57">
        <f t="shared" ref="L6:L18" si="6">L5+1</f>
        <v>3</v>
      </c>
      <c r="M6" s="66">
        <f t="shared" ref="M6:M18" si="7">M5+365</f>
        <v>43555</v>
      </c>
      <c r="N6" s="64">
        <v>13.376068019839126</v>
      </c>
      <c r="O6" s="26">
        <f t="shared" ref="O6:O18" si="8">N6/N5-1</f>
        <v>0.24976440259507693</v>
      </c>
    </row>
    <row r="7" spans="2:15" x14ac:dyDescent="0.3">
      <c r="B7" s="57">
        <f t="shared" si="0"/>
        <v>4</v>
      </c>
      <c r="C7" s="66">
        <f t="shared" si="1"/>
        <v>43920</v>
      </c>
      <c r="D7" s="64">
        <v>32837.5</v>
      </c>
      <c r="E7" s="26">
        <f t="shared" si="2"/>
        <v>0.12975991462163061</v>
      </c>
      <c r="G7" s="57">
        <f t="shared" si="3"/>
        <v>4</v>
      </c>
      <c r="H7" s="66">
        <f t="shared" si="4"/>
        <v>43920</v>
      </c>
      <c r="I7" s="64">
        <v>6982.8400000000011</v>
      </c>
      <c r="J7" s="26">
        <f t="shared" si="5"/>
        <v>9.5007354578499514E-2</v>
      </c>
      <c r="L7" s="57">
        <f t="shared" si="6"/>
        <v>4</v>
      </c>
      <c r="M7" s="66">
        <f t="shared" si="7"/>
        <v>43920</v>
      </c>
      <c r="N7" s="64">
        <v>17.450047930646438</v>
      </c>
      <c r="O7" s="26">
        <f t="shared" si="8"/>
        <v>0.30457230815250513</v>
      </c>
    </row>
    <row r="8" spans="2:15" x14ac:dyDescent="0.3">
      <c r="B8" s="57">
        <f t="shared" si="0"/>
        <v>5</v>
      </c>
      <c r="C8" s="66">
        <f t="shared" si="1"/>
        <v>44285</v>
      </c>
      <c r="D8" s="64">
        <v>33498.14</v>
      </c>
      <c r="E8" s="26">
        <f t="shared" si="2"/>
        <v>2.0118462124095959E-2</v>
      </c>
      <c r="G8" s="57">
        <f t="shared" si="3"/>
        <v>5</v>
      </c>
      <c r="H8" s="66">
        <f t="shared" si="4"/>
        <v>44285</v>
      </c>
      <c r="I8" s="64">
        <v>8469.9599999999991</v>
      </c>
      <c r="J8" s="26">
        <f t="shared" si="5"/>
        <v>0.21296778960995777</v>
      </c>
      <c r="L8" s="57">
        <f t="shared" si="6"/>
        <v>5</v>
      </c>
      <c r="M8" s="66">
        <f t="shared" si="7"/>
        <v>44285</v>
      </c>
      <c r="N8" s="64">
        <v>9.522277330888171</v>
      </c>
      <c r="O8" s="26">
        <f t="shared" si="8"/>
        <v>-0.45431225354030202</v>
      </c>
    </row>
    <row r="9" spans="2:15" x14ac:dyDescent="0.3">
      <c r="B9" s="57">
        <f t="shared" si="0"/>
        <v>6</v>
      </c>
      <c r="C9" s="66">
        <f t="shared" si="1"/>
        <v>44650</v>
      </c>
      <c r="D9" s="64">
        <v>38654.49</v>
      </c>
      <c r="E9" s="26">
        <f t="shared" si="2"/>
        <v>0.15392944205260339</v>
      </c>
      <c r="G9" s="57">
        <f t="shared" si="3"/>
        <v>6</v>
      </c>
      <c r="H9" s="66">
        <f t="shared" si="4"/>
        <v>44650</v>
      </c>
      <c r="I9" s="64">
        <v>10257.569999999996</v>
      </c>
      <c r="J9" s="26">
        <f t="shared" si="5"/>
        <v>0.21105294476006931</v>
      </c>
      <c r="L9" s="57">
        <f t="shared" si="6"/>
        <v>6</v>
      </c>
      <c r="M9" s="66">
        <f t="shared" si="7"/>
        <v>44650</v>
      </c>
      <c r="N9" s="64">
        <v>14.195056891593365</v>
      </c>
      <c r="O9" s="26">
        <f t="shared" si="8"/>
        <v>0.49072080116252503</v>
      </c>
    </row>
    <row r="10" spans="2:15" x14ac:dyDescent="0.3">
      <c r="B10" s="57">
        <f t="shared" si="0"/>
        <v>7</v>
      </c>
      <c r="C10" s="66">
        <f t="shared" si="1"/>
        <v>45015</v>
      </c>
      <c r="D10" s="64">
        <v>43885.68</v>
      </c>
      <c r="E10" s="26">
        <f t="shared" si="2"/>
        <v>0.1353320144697292</v>
      </c>
      <c r="G10" s="57">
        <f t="shared" si="3"/>
        <v>7</v>
      </c>
      <c r="H10" s="66">
        <f t="shared" si="4"/>
        <v>45015</v>
      </c>
      <c r="I10" s="64">
        <v>11650.440000000002</v>
      </c>
      <c r="J10" s="26">
        <f t="shared" si="5"/>
        <v>0.13578947060561197</v>
      </c>
      <c r="L10" s="57">
        <f t="shared" si="6"/>
        <v>7</v>
      </c>
      <c r="M10" s="66">
        <f t="shared" si="7"/>
        <v>45015</v>
      </c>
      <c r="N10" s="64">
        <v>35.680573500604353</v>
      </c>
      <c r="O10" s="26">
        <f t="shared" si="8"/>
        <v>1.5135914405341482</v>
      </c>
    </row>
    <row r="11" spans="2:15" x14ac:dyDescent="0.3">
      <c r="B11" s="57">
        <f t="shared" si="0"/>
        <v>8</v>
      </c>
      <c r="C11" s="66">
        <f t="shared" si="1"/>
        <v>45380</v>
      </c>
      <c r="D11" s="64">
        <v>48496.85</v>
      </c>
      <c r="E11" s="26">
        <f t="shared" si="2"/>
        <v>0.10507231516066295</v>
      </c>
      <c r="G11" s="57">
        <f t="shared" si="3"/>
        <v>8</v>
      </c>
      <c r="H11" s="66">
        <f t="shared" si="4"/>
        <v>45380</v>
      </c>
      <c r="I11" s="64">
        <v>13017.769999999995</v>
      </c>
      <c r="J11" s="26">
        <f t="shared" si="5"/>
        <v>0.11736294938216862</v>
      </c>
      <c r="L11" s="57">
        <f t="shared" si="6"/>
        <v>8</v>
      </c>
      <c r="M11" s="66">
        <f t="shared" si="7"/>
        <v>45380</v>
      </c>
      <c r="N11" s="64">
        <v>40.21356228900094</v>
      </c>
      <c r="O11" s="26">
        <f t="shared" si="8"/>
        <v>0.12704360787025482</v>
      </c>
    </row>
    <row r="12" spans="2:15" x14ac:dyDescent="0.3">
      <c r="B12" s="57">
        <f t="shared" si="0"/>
        <v>9</v>
      </c>
      <c r="C12" s="66">
        <f t="shared" si="1"/>
        <v>45745</v>
      </c>
      <c r="D12" s="64">
        <v>52578.44</v>
      </c>
      <c r="E12" s="26">
        <f t="shared" si="2"/>
        <v>8.4161961034582733E-2</v>
      </c>
      <c r="G12" s="57">
        <f t="shared" si="3"/>
        <v>9</v>
      </c>
      <c r="H12" s="66">
        <f t="shared" si="4"/>
        <v>45745</v>
      </c>
      <c r="I12" s="64">
        <v>15114.460000000003</v>
      </c>
      <c r="J12" s="26">
        <f t="shared" si="5"/>
        <v>0.16106368448666775</v>
      </c>
      <c r="L12" s="57">
        <f t="shared" si="6"/>
        <v>9</v>
      </c>
      <c r="M12" s="66">
        <f t="shared" si="7"/>
        <v>45745</v>
      </c>
      <c r="N12" s="64">
        <v>45.763764431292465</v>
      </c>
      <c r="O12" s="26">
        <f t="shared" si="8"/>
        <v>0.13801816666735833</v>
      </c>
    </row>
    <row r="13" spans="2:15" x14ac:dyDescent="0.3">
      <c r="B13" s="57">
        <f t="shared" si="0"/>
        <v>10</v>
      </c>
      <c r="C13" s="66">
        <f t="shared" si="1"/>
        <v>46110</v>
      </c>
      <c r="D13" s="64">
        <v>58462.04</v>
      </c>
      <c r="E13" s="26">
        <f t="shared" si="2"/>
        <v>0.11190138010941353</v>
      </c>
      <c r="G13" s="57">
        <f t="shared" si="3"/>
        <v>10</v>
      </c>
      <c r="H13" s="66">
        <f t="shared" si="4"/>
        <v>46110</v>
      </c>
      <c r="I13" s="64">
        <v>17731.400000000001</v>
      </c>
      <c r="J13" s="26">
        <f t="shared" si="5"/>
        <v>0.17314148173338628</v>
      </c>
      <c r="L13" s="57">
        <f t="shared" si="6"/>
        <v>10</v>
      </c>
      <c r="M13" s="66">
        <f t="shared" si="7"/>
        <v>46110</v>
      </c>
      <c r="N13" s="64">
        <v>48.199558204476304</v>
      </c>
      <c r="O13" s="26">
        <f t="shared" si="8"/>
        <v>5.3225380461015659E-2</v>
      </c>
    </row>
    <row r="14" spans="2:15" x14ac:dyDescent="0.3">
      <c r="B14" s="69">
        <f t="shared" si="0"/>
        <v>11</v>
      </c>
      <c r="C14" s="70">
        <f t="shared" si="1"/>
        <v>46475</v>
      </c>
      <c r="D14" s="71">
        <f>FORECAST(B14,$D$4:$D$13,$B$4:$B$13)</f>
        <v>58222.39</v>
      </c>
      <c r="E14" s="72">
        <f t="shared" si="2"/>
        <v>-4.0992411486154845E-3</v>
      </c>
      <c r="G14" s="69">
        <f t="shared" si="3"/>
        <v>11</v>
      </c>
      <c r="H14" s="70">
        <f t="shared" si="4"/>
        <v>46475</v>
      </c>
      <c r="I14" s="71">
        <f>FORECAST(G14,$I$4:$I$13,$G$4:$G$13)</f>
        <v>16668.154666666669</v>
      </c>
      <c r="J14" s="72">
        <f t="shared" si="5"/>
        <v>-5.9963981035526359E-2</v>
      </c>
      <c r="L14" s="69">
        <f t="shared" si="6"/>
        <v>11</v>
      </c>
      <c r="M14" s="70">
        <f t="shared" si="7"/>
        <v>46475</v>
      </c>
      <c r="N14" s="71">
        <f>FORECAST(L14,$N$4:$N$13,$L$4:$L$13)</f>
        <v>46.070692840967503</v>
      </c>
      <c r="O14" s="72">
        <f t="shared" si="8"/>
        <v>-4.416773602939561E-2</v>
      </c>
    </row>
    <row r="15" spans="2:15" x14ac:dyDescent="0.3">
      <c r="B15" s="69">
        <f t="shared" si="0"/>
        <v>12</v>
      </c>
      <c r="C15" s="70">
        <f t="shared" si="1"/>
        <v>46840</v>
      </c>
      <c r="D15" s="71">
        <f t="shared" ref="D15:D18" si="9">FORECAST(B15,$D$4:$D$13,$B$4:$B$13)</f>
        <v>61616.516363636358</v>
      </c>
      <c r="E15" s="72">
        <f t="shared" si="2"/>
        <v>5.829589550749037E-2</v>
      </c>
      <c r="G15" s="69">
        <f t="shared" si="3"/>
        <v>12</v>
      </c>
      <c r="H15" s="70">
        <f t="shared" si="4"/>
        <v>46840</v>
      </c>
      <c r="I15" s="71">
        <f t="shared" ref="I15:I18" si="10">FORECAST(G15,$I$4:$I$13,$G$4:$G$13)</f>
        <v>17783.548969696967</v>
      </c>
      <c r="J15" s="72">
        <f t="shared" si="5"/>
        <v>6.6917683771010816E-2</v>
      </c>
      <c r="L15" s="69">
        <f t="shared" si="6"/>
        <v>12</v>
      </c>
      <c r="M15" s="70">
        <f t="shared" si="7"/>
        <v>46840</v>
      </c>
      <c r="N15" s="71">
        <f t="shared" ref="N15:N18" si="11">FORECAST(L15,$N$4:$N$13,$L$4:$L$13)</f>
        <v>49.57873596970834</v>
      </c>
      <c r="O15" s="72">
        <f t="shared" si="8"/>
        <v>7.6144787768882338E-2</v>
      </c>
    </row>
    <row r="16" spans="2:15" x14ac:dyDescent="0.3">
      <c r="B16" s="69">
        <f t="shared" si="0"/>
        <v>13</v>
      </c>
      <c r="C16" s="70">
        <f t="shared" si="1"/>
        <v>47205</v>
      </c>
      <c r="D16" s="71">
        <f t="shared" si="9"/>
        <v>65010.642727272731</v>
      </c>
      <c r="E16" s="72">
        <f t="shared" si="2"/>
        <v>5.5084684496046199E-2</v>
      </c>
      <c r="G16" s="69">
        <f t="shared" si="3"/>
        <v>13</v>
      </c>
      <c r="H16" s="70">
        <f t="shared" si="4"/>
        <v>47205</v>
      </c>
      <c r="I16" s="71">
        <f t="shared" si="10"/>
        <v>18898.943272727272</v>
      </c>
      <c r="J16" s="72">
        <f t="shared" si="5"/>
        <v>6.272056859578079E-2</v>
      </c>
      <c r="L16" s="69">
        <f t="shared" si="6"/>
        <v>13</v>
      </c>
      <c r="M16" s="70">
        <f t="shared" si="7"/>
        <v>47205</v>
      </c>
      <c r="N16" s="71">
        <f t="shared" si="11"/>
        <v>53.086779098449171</v>
      </c>
      <c r="O16" s="72">
        <f t="shared" si="8"/>
        <v>7.0757010240926288E-2</v>
      </c>
    </row>
    <row r="17" spans="2:15" x14ac:dyDescent="0.3">
      <c r="B17" s="69">
        <f t="shared" si="0"/>
        <v>14</v>
      </c>
      <c r="C17" s="70">
        <f t="shared" si="1"/>
        <v>47570</v>
      </c>
      <c r="D17" s="71">
        <f t="shared" si="9"/>
        <v>68404.769090909089</v>
      </c>
      <c r="E17" s="72">
        <f t="shared" si="2"/>
        <v>5.2208780305020408E-2</v>
      </c>
      <c r="G17" s="69">
        <f t="shared" si="3"/>
        <v>14</v>
      </c>
      <c r="H17" s="70">
        <f t="shared" si="4"/>
        <v>47570</v>
      </c>
      <c r="I17" s="71">
        <f t="shared" si="10"/>
        <v>20014.337575757578</v>
      </c>
      <c r="J17" s="72">
        <f t="shared" si="5"/>
        <v>5.9018871422293229E-2</v>
      </c>
      <c r="L17" s="69">
        <f t="shared" si="6"/>
        <v>14</v>
      </c>
      <c r="M17" s="70">
        <f t="shared" si="7"/>
        <v>47570</v>
      </c>
      <c r="N17" s="71">
        <f t="shared" si="11"/>
        <v>56.594822227190001</v>
      </c>
      <c r="O17" s="72">
        <f t="shared" si="8"/>
        <v>6.6081295349171176E-2</v>
      </c>
    </row>
    <row r="18" spans="2:15" x14ac:dyDescent="0.3">
      <c r="B18" s="69">
        <f t="shared" si="0"/>
        <v>15</v>
      </c>
      <c r="C18" s="70">
        <f t="shared" si="1"/>
        <v>47935</v>
      </c>
      <c r="D18" s="71">
        <f t="shared" si="9"/>
        <v>71798.895454545447</v>
      </c>
      <c r="E18" s="72">
        <f t="shared" si="2"/>
        <v>4.9618270900463113E-2</v>
      </c>
      <c r="G18" s="69">
        <f t="shared" si="3"/>
        <v>15</v>
      </c>
      <c r="H18" s="70">
        <f t="shared" si="4"/>
        <v>47935</v>
      </c>
      <c r="I18" s="71">
        <f t="shared" si="10"/>
        <v>21129.731878787883</v>
      </c>
      <c r="J18" s="72">
        <f t="shared" si="5"/>
        <v>5.5729763666089616E-2</v>
      </c>
      <c r="L18" s="69">
        <f t="shared" si="6"/>
        <v>15</v>
      </c>
      <c r="M18" s="70">
        <f t="shared" si="7"/>
        <v>47935</v>
      </c>
      <c r="N18" s="71">
        <f t="shared" si="11"/>
        <v>60.102865355930838</v>
      </c>
      <c r="O18" s="72">
        <f t="shared" si="8"/>
        <v>6.1985230992658957E-2</v>
      </c>
    </row>
    <row r="19" spans="2:15" x14ac:dyDescent="0.3">
      <c r="B19" s="57"/>
      <c r="C19" s="67"/>
    </row>
    <row r="20" spans="2:15" x14ac:dyDescent="0.3">
      <c r="B20" s="57"/>
      <c r="C20" s="67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DA3B-9FC8-4B19-8DDA-CCFBBF70300B}">
  <sheetPr>
    <tabColor theme="9" tint="-0.499984740745262"/>
  </sheetPr>
  <dimension ref="A2:L41"/>
  <sheetViews>
    <sheetView showGridLines="0" workbookViewId="0">
      <selection activeCell="C32" sqref="C32"/>
    </sheetView>
  </sheetViews>
  <sheetFormatPr defaultRowHeight="14.4" x14ac:dyDescent="0.3"/>
  <cols>
    <col min="1" max="1" width="1.88671875" customWidth="1"/>
    <col min="2" max="2" width="22" bestFit="1" customWidth="1"/>
    <col min="3" max="3" width="9.6640625" bestFit="1" customWidth="1"/>
  </cols>
  <sheetData>
    <row r="2" spans="1:12" x14ac:dyDescent="0.3">
      <c r="A2" t="s">
        <v>78</v>
      </c>
      <c r="B2" s="174" t="str">
        <f>"Commom Size Income Statement"&amp;" "&amp;"- "&amp;'[1]Data Set'!$B$1</f>
        <v>Commom Size Income Statement - SUN PHARMACEUTICAL INDUSTRIES LTD</v>
      </c>
      <c r="C2" s="174" t="str">
        <f>"Commom Size Income Statement"&amp;" "&amp;"- "&amp;'[1]Data Set'!$B$1</f>
        <v>Commom Size Income Statement - SUN PHARMACEUTICAL INDUSTRIES LTD</v>
      </c>
      <c r="D2" s="174" t="str">
        <f>"Commom Size Income Statement"&amp;" "&amp;"- "&amp;'[1]Data Set'!$B$1</f>
        <v>Commom Size Income Statement - SUN PHARMACEUTICAL INDUSTRIES LTD</v>
      </c>
      <c r="E2" s="174" t="str">
        <f>"Commom Size Income Statement"&amp;" "&amp;"- "&amp;'[1]Data Set'!$B$1</f>
        <v>Commom Size Income Statement - SUN PHARMACEUTICAL INDUSTRIES LTD</v>
      </c>
      <c r="F2" s="174" t="str">
        <f>"Commom Size Income Statement"&amp;" "&amp;"- "&amp;'[1]Data Set'!$B$1</f>
        <v>Commom Size Income Statement - SUN PHARMACEUTICAL INDUSTRIES LTD</v>
      </c>
      <c r="G2" s="174" t="str">
        <f>"Commom Size Income Statement"&amp;" "&amp;"- "&amp;'[1]Data Set'!$B$1</f>
        <v>Commom Size Income Statement - SUN PHARMACEUTICAL INDUSTRIES LTD</v>
      </c>
      <c r="H2" s="174" t="str">
        <f>"Commom Size Income Statement"&amp;" "&amp;"- "&amp;'[1]Data Set'!$B$1</f>
        <v>Commom Size Income Statement - SUN PHARMACEUTICAL INDUSTRIES LTD</v>
      </c>
      <c r="I2" s="174" t="str">
        <f>"Commom Size Income Statement"&amp;" "&amp;"- "&amp;'[1]Data Set'!$B$1</f>
        <v>Commom Size Income Statement - SUN PHARMACEUTICAL INDUSTRIES LTD</v>
      </c>
      <c r="J2" s="174" t="str">
        <f>"Commom Size Income Statement"&amp;" "&amp;"- "&amp;'[1]Data Set'!$B$1</f>
        <v>Commom Size Income Statement - SUN PHARMACEUTICAL INDUSTRIES LTD</v>
      </c>
      <c r="K2" s="174" t="str">
        <f>"Commom Size Income Statement"&amp;" "&amp;"- "&amp;'[1]Data Set'!$B$1</f>
        <v>Commom Size Income Statement - SUN PHARMACEUTICAL INDUSTRIES LTD</v>
      </c>
      <c r="L2" s="174" t="str">
        <f>"Commom Size Income Statement"&amp;" "&amp;"- "&amp;'[1]Data Set'!$B$1</f>
        <v>Commom Size Income Statement - SUN PHARMACEUTICAL INDUSTRIES LTD</v>
      </c>
    </row>
    <row r="4" spans="1:12" x14ac:dyDescent="0.3">
      <c r="B4" s="76" t="s">
        <v>210</v>
      </c>
      <c r="C4" s="77">
        <f>'Data Sheet'!B16</f>
        <v>42825</v>
      </c>
      <c r="D4" s="77">
        <f>'Data Sheet'!C16</f>
        <v>43190</v>
      </c>
      <c r="E4" s="77">
        <f>'Data Sheet'!D16</f>
        <v>43555</v>
      </c>
      <c r="F4" s="77">
        <f>'Data Sheet'!E16</f>
        <v>43921</v>
      </c>
      <c r="G4" s="77">
        <f>'Data Sheet'!F16</f>
        <v>44286</v>
      </c>
      <c r="H4" s="77">
        <f>'Data Sheet'!G16</f>
        <v>44651</v>
      </c>
      <c r="I4" s="77">
        <f>'Data Sheet'!H16</f>
        <v>45016</v>
      </c>
      <c r="J4" s="77">
        <f>'Data Sheet'!I16</f>
        <v>45382</v>
      </c>
      <c r="K4" s="77">
        <f>'Data Sheet'!J16</f>
        <v>45747</v>
      </c>
      <c r="L4" s="77">
        <f>'Data Sheet'!K16</f>
        <v>46112</v>
      </c>
    </row>
    <row r="5" spans="1:12" x14ac:dyDescent="0.3">
      <c r="B5" s="2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x14ac:dyDescent="0.3">
      <c r="B6" s="75" t="str">
        <f>'Data Sheet'!A17</f>
        <v>Sales</v>
      </c>
      <c r="C6" s="26">
        <f>'Data Sheet'!B17/'Data Sheet'!B$17</f>
        <v>1</v>
      </c>
      <c r="D6" s="26">
        <f>'Data Sheet'!C17/'Data Sheet'!C$17</f>
        <v>1</v>
      </c>
      <c r="E6" s="26">
        <f>'Data Sheet'!D17/'Data Sheet'!D$17</f>
        <v>1</v>
      </c>
      <c r="F6" s="26">
        <f>'Data Sheet'!E17/'Data Sheet'!E$17</f>
        <v>1</v>
      </c>
      <c r="G6" s="26">
        <f>'Data Sheet'!F17/'Data Sheet'!F$17</f>
        <v>1</v>
      </c>
      <c r="H6" s="26">
        <f>'Data Sheet'!G17/'Data Sheet'!G$17</f>
        <v>1</v>
      </c>
      <c r="I6" s="26">
        <f>'Data Sheet'!H17/'Data Sheet'!H$17</f>
        <v>1</v>
      </c>
      <c r="J6" s="26">
        <f>'Data Sheet'!I17/'Data Sheet'!I$17</f>
        <v>1</v>
      </c>
      <c r="K6" s="26">
        <f>'Data Sheet'!J17/'Data Sheet'!J$17</f>
        <v>1</v>
      </c>
      <c r="L6" s="26">
        <f>'Data Sheet'!K17/'Data Sheet'!K$17</f>
        <v>1</v>
      </c>
    </row>
    <row r="7" spans="1:12" x14ac:dyDescent="0.3">
      <c r="B7" s="75" t="str">
        <f>'Data Sheet'!A18</f>
        <v>Raw Material Cost</v>
      </c>
      <c r="C7" s="26">
        <f>'Data Sheet'!B18/'Data Sheet'!B$17</f>
        <v>0.26607932500782183</v>
      </c>
      <c r="D7" s="26">
        <f>'Data Sheet'!C18/'Data Sheet'!C$17</f>
        <v>0.27157896008450155</v>
      </c>
      <c r="E7" s="26">
        <f>'Data Sheet'!D18/'Data Sheet'!D$17</f>
        <v>0.28562945388601285</v>
      </c>
      <c r="F7" s="26">
        <f>'Data Sheet'!E18/'Data Sheet'!E$17</f>
        <v>0.27193300342596116</v>
      </c>
      <c r="G7" s="26">
        <f>'Data Sheet'!F18/'Data Sheet'!F$17</f>
        <v>0.27847217785823331</v>
      </c>
      <c r="H7" s="26">
        <f>'Data Sheet'!G18/'Data Sheet'!G$17</f>
        <v>0.27058046814225206</v>
      </c>
      <c r="I7" s="26">
        <f>'Data Sheet'!H18/'Data Sheet'!H$17</f>
        <v>0.25860531271248388</v>
      </c>
      <c r="J7" s="26">
        <f>'Data Sheet'!I18/'Data Sheet'!I$17</f>
        <v>0.21383821835851194</v>
      </c>
      <c r="K7" s="26">
        <f>'Data Sheet'!J18/'Data Sheet'!J$17</f>
        <v>0.20154744035768271</v>
      </c>
      <c r="L7" s="26">
        <f>'Data Sheet'!K18/'Data Sheet'!K$17</f>
        <v>0.19158671165084215</v>
      </c>
    </row>
    <row r="8" spans="1:12" x14ac:dyDescent="0.3">
      <c r="B8" s="75" t="str">
        <f>'Data Sheet'!A19</f>
        <v>Change in Inventory</v>
      </c>
      <c r="C8" s="26">
        <f>'Data Sheet'!B19/'Data Sheet'!B$17</f>
        <v>8.601754868194882E-3</v>
      </c>
      <c r="D8" s="26">
        <f>'Data Sheet'!C19/'Data Sheet'!C$17</f>
        <v>-8.7091243083097947E-3</v>
      </c>
      <c r="E8" s="26">
        <f>'Data Sheet'!D19/'Data Sheet'!D$17</f>
        <v>1.4900961297960395E-2</v>
      </c>
      <c r="F8" s="26">
        <f>'Data Sheet'!E19/'Data Sheet'!E$17</f>
        <v>-9.1617814998096701E-3</v>
      </c>
      <c r="G8" s="26">
        <f>'Data Sheet'!F19/'Data Sheet'!F$17</f>
        <v>1.9052401118390454E-2</v>
      </c>
      <c r="H8" s="26">
        <f>'Data Sheet'!G19/'Data Sheet'!G$17</f>
        <v>2.7838939279757669E-3</v>
      </c>
      <c r="I8" s="26">
        <f>'Data Sheet'!H19/'Data Sheet'!H$17</f>
        <v>1.5652258322076812E-2</v>
      </c>
      <c r="J8" s="26">
        <f>'Data Sheet'!I19/'Data Sheet'!I$17</f>
        <v>-6.0236901984355683E-3</v>
      </c>
      <c r="K8" s="26">
        <f>'Data Sheet'!J19/'Data Sheet'!J$17</f>
        <v>-2.8587763349388075E-3</v>
      </c>
      <c r="L8" s="26">
        <f>'Data Sheet'!K19/'Data Sheet'!K$17</f>
        <v>-5.8692785951362627E-3</v>
      </c>
    </row>
    <row r="9" spans="1:12" x14ac:dyDescent="0.3">
      <c r="B9" s="75" t="str">
        <f>'Data Sheet'!A20</f>
        <v>Power and Fuel</v>
      </c>
      <c r="C9" s="26">
        <f>'Data Sheet'!B20/'Data Sheet'!B$17</f>
        <v>1.6628117158415681E-2</v>
      </c>
      <c r="D9" s="26">
        <f>'Data Sheet'!C20/'Data Sheet'!C$17</f>
        <v>2.1139351274053909E-2</v>
      </c>
      <c r="E9" s="26">
        <f>'Data Sheet'!D20/'Data Sheet'!D$17</f>
        <v>2.1110641297657634E-2</v>
      </c>
      <c r="F9" s="26">
        <f>'Data Sheet'!E20/'Data Sheet'!E$17</f>
        <v>1.8938408831366577E-2</v>
      </c>
      <c r="G9" s="26">
        <f>'Data Sheet'!F20/'Data Sheet'!F$17</f>
        <v>1.8720143864704133E-2</v>
      </c>
      <c r="H9" s="26">
        <f>'Data Sheet'!G20/'Data Sheet'!G$17</f>
        <v>1.818107029739624E-2</v>
      </c>
      <c r="I9" s="26">
        <f>'Data Sheet'!H20/'Data Sheet'!H$17</f>
        <v>1.8913914516079048E-2</v>
      </c>
      <c r="J9" s="26">
        <f>'Data Sheet'!I20/'Data Sheet'!I$17</f>
        <v>1.5687204426679258E-2</v>
      </c>
      <c r="K9" s="26">
        <f>'Data Sheet'!J20/'Data Sheet'!J$17</f>
        <v>1.4272009591764228E-2</v>
      </c>
      <c r="L9" s="26">
        <f>'Data Sheet'!K20/'Data Sheet'!K$17</f>
        <v>0</v>
      </c>
    </row>
    <row r="10" spans="1:12" x14ac:dyDescent="0.3">
      <c r="B10" s="75" t="str">
        <f>'Data Sheet'!A21</f>
        <v>Other Mfr. Exp</v>
      </c>
      <c r="C10" s="26">
        <f>'Data Sheet'!B21/'Data Sheet'!B$17</f>
        <v>6.2493904068725376E-2</v>
      </c>
      <c r="D10" s="26">
        <f>'Data Sheet'!C21/'Data Sheet'!C$17</f>
        <v>6.9021792063711382E-2</v>
      </c>
      <c r="E10" s="26">
        <f>'Data Sheet'!D21/'Data Sheet'!D$17</f>
        <v>6.4842628357412516E-2</v>
      </c>
      <c r="F10" s="26">
        <f>'Data Sheet'!E21/'Data Sheet'!E$17</f>
        <v>5.1465550057099352E-2</v>
      </c>
      <c r="G10" s="26">
        <f>'Data Sheet'!F21/'Data Sheet'!F$17</f>
        <v>5.1458976528249031E-2</v>
      </c>
      <c r="H10" s="26">
        <f>'Data Sheet'!G21/'Data Sheet'!G$17</f>
        <v>4.8654373657497488E-2</v>
      </c>
      <c r="I10" s="26">
        <f>'Data Sheet'!H21/'Data Sheet'!H$17</f>
        <v>4.413216338450264E-2</v>
      </c>
      <c r="J10" s="26">
        <f>'Data Sheet'!I21/'Data Sheet'!I$17</f>
        <v>4.5087876841485582E-2</v>
      </c>
      <c r="K10" s="26">
        <f>'Data Sheet'!J21/'Data Sheet'!J$17</f>
        <v>4.3006981568871186E-2</v>
      </c>
      <c r="L10" s="26">
        <f>'Data Sheet'!K21/'Data Sheet'!K$17</f>
        <v>0</v>
      </c>
    </row>
    <row r="11" spans="1:12" x14ac:dyDescent="0.3">
      <c r="B11" s="75" t="str">
        <f>'Data Sheet'!A22</f>
        <v>Employee Cost</v>
      </c>
      <c r="C11" s="26">
        <f>'Data Sheet'!B22/'Data Sheet'!B$17</f>
        <v>0.15524199422137383</v>
      </c>
      <c r="D11" s="26">
        <f>'Data Sheet'!C22/'Data Sheet'!C$17</f>
        <v>0.20261077424756868</v>
      </c>
      <c r="E11" s="26">
        <f>'Data Sheet'!D22/'Data Sheet'!D$17</f>
        <v>0.20529513784361131</v>
      </c>
      <c r="F11" s="26">
        <f>'Data Sheet'!E22/'Data Sheet'!E$17</f>
        <v>0.19375256947087935</v>
      </c>
      <c r="G11" s="26">
        <f>'Data Sheet'!F22/'Data Sheet'!F$17</f>
        <v>0.20485406055380984</v>
      </c>
      <c r="H11" s="26">
        <f>'Data Sheet'!G22/'Data Sheet'!G$17</f>
        <v>0.18887404800839439</v>
      </c>
      <c r="I11" s="26">
        <f>'Data Sheet'!H22/'Data Sheet'!H$17</f>
        <v>0.18903728961246585</v>
      </c>
      <c r="J11" s="26">
        <f>'Data Sheet'!I22/'Data Sheet'!I$17</f>
        <v>0.19442623593078726</v>
      </c>
      <c r="K11" s="26">
        <f>'Data Sheet'!J22/'Data Sheet'!J$17</f>
        <v>0.1896807893121211</v>
      </c>
      <c r="L11" s="26">
        <f>'Data Sheet'!K22/'Data Sheet'!K$17</f>
        <v>0.19532092961518277</v>
      </c>
    </row>
    <row r="12" spans="1:12" x14ac:dyDescent="0.3">
      <c r="B12" s="75" t="str">
        <f>'Data Sheet'!A23</f>
        <v>Selling and admin</v>
      </c>
      <c r="C12" s="26">
        <f>'Data Sheet'!B23/'Data Sheet'!B$17</f>
        <v>0.16544864154150743</v>
      </c>
      <c r="D12" s="26">
        <f>'Data Sheet'!C23/'Data Sheet'!C$17</f>
        <v>0.17844833379011879</v>
      </c>
      <c r="E12" s="26">
        <f>'Data Sheet'!D23/'Data Sheet'!D$17</f>
        <v>0.18407577811945333</v>
      </c>
      <c r="F12" s="26">
        <f>'Data Sheet'!E23/'Data Sheet'!E$17</f>
        <v>0.21302992006090599</v>
      </c>
      <c r="G12" s="26">
        <f>'Data Sheet'!F23/'Data Sheet'!F$17</f>
        <v>0.18757489221789628</v>
      </c>
      <c r="H12" s="26">
        <f>'Data Sheet'!G23/'Data Sheet'!G$17</f>
        <v>0.19058277576550617</v>
      </c>
      <c r="I12" s="26">
        <f>'Data Sheet'!H23/'Data Sheet'!H$17</f>
        <v>0.21606956984601813</v>
      </c>
      <c r="J12" s="26">
        <f>'Data Sheet'!I23/'Data Sheet'!I$17</f>
        <v>0.22750322959120026</v>
      </c>
      <c r="K12" s="26">
        <f>'Data Sheet'!J23/'Data Sheet'!J$17</f>
        <v>0.23247019120384704</v>
      </c>
      <c r="L12" s="26">
        <f>'Data Sheet'!K23/'Data Sheet'!K$17</f>
        <v>0</v>
      </c>
    </row>
    <row r="13" spans="1:12" x14ac:dyDescent="0.3">
      <c r="B13" s="75" t="str">
        <f>'Data Sheet'!A24</f>
        <v>Other Expenses</v>
      </c>
      <c r="C13" s="26">
        <f>'Data Sheet'!B24/'Data Sheet'!B$17</f>
        <v>2.2807333104485215E-2</v>
      </c>
      <c r="D13" s="26">
        <f>'Data Sheet'!C24/'Data Sheet'!C$17</f>
        <v>3.5900694087384194E-2</v>
      </c>
      <c r="E13" s="26">
        <f>'Data Sheet'!D24/'Data Sheet'!D$17</f>
        <v>3.4550096659626349E-2</v>
      </c>
      <c r="F13" s="26">
        <f>'Data Sheet'!E24/'Data Sheet'!E$17</f>
        <v>2.907042253521127E-2</v>
      </c>
      <c r="G13" s="26">
        <f>'Data Sheet'!F24/'Data Sheet'!F$17</f>
        <v>2.5123484468092858E-2</v>
      </c>
      <c r="H13" s="26">
        <f>'Data Sheet'!G24/'Data Sheet'!G$17</f>
        <v>2.0545608026389689E-2</v>
      </c>
      <c r="I13" s="26">
        <f>'Data Sheet'!H24/'Data Sheet'!H$17</f>
        <v>2.3421535225157726E-2</v>
      </c>
      <c r="J13" s="26">
        <f>'Data Sheet'!I24/'Data Sheet'!I$17</f>
        <v>2.9008481994191374E-2</v>
      </c>
      <c r="K13" s="26">
        <f>'Data Sheet'!J24/'Data Sheet'!J$17</f>
        <v>2.8698835492266411E-2</v>
      </c>
      <c r="L13" s="26">
        <f>'Data Sheet'!K24/'Data Sheet'!K$17</f>
        <v>0.30392541895561631</v>
      </c>
    </row>
    <row r="14" spans="1:12" x14ac:dyDescent="0.3">
      <c r="B14" s="75" t="str">
        <f>'Data Sheet'!A25</f>
        <v>Other Income</v>
      </c>
      <c r="C14" s="26">
        <f>'Data Sheet'!B25/'Data Sheet'!B$17</f>
        <v>1.93296438962786E-2</v>
      </c>
      <c r="D14" s="26">
        <f>'Data Sheet'!C25/'Data Sheet'!C$17</f>
        <v>-5.0974991562681912E-3</v>
      </c>
      <c r="E14" s="26">
        <f>'Data Sheet'!D25/'Data Sheet'!D$17</f>
        <v>-8.8860111381339844E-3</v>
      </c>
      <c r="F14" s="26">
        <f>'Data Sheet'!E25/'Data Sheet'!E$17</f>
        <v>1.1640959269128283E-2</v>
      </c>
      <c r="G14" s="26">
        <f>'Data Sheet'!F25/'Data Sheet'!F$17</f>
        <v>-0.10296720952267797</v>
      </c>
      <c r="H14" s="26">
        <f>'Data Sheet'!G25/'Data Sheet'!G$17</f>
        <v>-9.0679245800423192E-2</v>
      </c>
      <c r="I14" s="26">
        <f>'Data Sheet'!H25/'Data Sheet'!H$17</f>
        <v>1.046856286606474E-2</v>
      </c>
      <c r="J14" s="26">
        <f>'Data Sheet'!I25/'Data Sheet'!I$17</f>
        <v>1.7840952556712447E-2</v>
      </c>
      <c r="K14" s="26">
        <f>'Data Sheet'!J25/'Data Sheet'!J$17</f>
        <v>2.7471716543891373E-2</v>
      </c>
      <c r="L14" s="26">
        <f>'Data Sheet'!K25/'Data Sheet'!K$17</f>
        <v>1.1361902526836217E-2</v>
      </c>
    </row>
    <row r="15" spans="1:12" x14ac:dyDescent="0.3">
      <c r="B15" s="75" t="str">
        <f>'Data Sheet'!A26</f>
        <v>Depreciation</v>
      </c>
      <c r="C15" s="26">
        <f>'Data Sheet'!B26/'Data Sheet'!B$17</f>
        <v>4.0051060153699802E-2</v>
      </c>
      <c r="D15" s="26">
        <f>'Data Sheet'!C26/'Data Sheet'!C$17</f>
        <v>5.6620255754552942E-2</v>
      </c>
      <c r="E15" s="26">
        <f>'Data Sheet'!D26/'Data Sheet'!D$17</f>
        <v>6.0319804196737693E-2</v>
      </c>
      <c r="F15" s="26">
        <f>'Data Sheet'!E26/'Data Sheet'!E$17</f>
        <v>6.2513285116102019E-2</v>
      </c>
      <c r="G15" s="26">
        <f>'Data Sheet'!F26/'Data Sheet'!F$17</f>
        <v>6.2091507170248854E-2</v>
      </c>
      <c r="H15" s="26">
        <f>'Data Sheet'!G26/'Data Sheet'!G$17</f>
        <v>5.5459016533396244E-2</v>
      </c>
      <c r="I15" s="26">
        <f>'Data Sheet'!H26/'Data Sheet'!H$17</f>
        <v>5.7636796330830464E-2</v>
      </c>
      <c r="J15" s="26">
        <f>'Data Sheet'!I26/'Data Sheet'!I$17</f>
        <v>5.2717650734016741E-2</v>
      </c>
      <c r="K15" s="26">
        <f>'Data Sheet'!J26/'Data Sheet'!J$17</f>
        <v>4.898186404921865E-2</v>
      </c>
      <c r="L15" s="26">
        <f>'Data Sheet'!K26/'Data Sheet'!K$17</f>
        <v>5.0252266256873686E-2</v>
      </c>
    </row>
    <row r="16" spans="1:12" x14ac:dyDescent="0.3">
      <c r="B16" s="75" t="str">
        <f>'Data Sheet'!A27</f>
        <v>Interest</v>
      </c>
      <c r="C16" s="26">
        <f>'Data Sheet'!B27/'Data Sheet'!B$17</f>
        <v>1.2660536745957053E-2</v>
      </c>
      <c r="D16" s="26">
        <f>'Data Sheet'!C27/'Data Sheet'!C$17</f>
        <v>1.9538714643484618E-2</v>
      </c>
      <c r="E16" s="26">
        <f>'Data Sheet'!D27/'Data Sheet'!D$17</f>
        <v>1.9103134909589963E-2</v>
      </c>
      <c r="F16" s="26">
        <f>'Data Sheet'!E27/'Data Sheet'!E$17</f>
        <v>9.2190331176246667E-3</v>
      </c>
      <c r="G16" s="26">
        <f>'Data Sheet'!F27/'Data Sheet'!F$17</f>
        <v>4.2220254617122031E-3</v>
      </c>
      <c r="H16" s="26">
        <f>'Data Sheet'!G27/'Data Sheet'!G$17</f>
        <v>3.2945719889203042E-3</v>
      </c>
      <c r="I16" s="26">
        <f>'Data Sheet'!H27/'Data Sheet'!H$17</f>
        <v>3.9192738952660636E-3</v>
      </c>
      <c r="J16" s="26">
        <f>'Data Sheet'!I27/'Data Sheet'!I$17</f>
        <v>4.9172265827574372E-3</v>
      </c>
      <c r="K16" s="26">
        <f>'Data Sheet'!J27/'Data Sheet'!J$17</f>
        <v>4.4002827014266686E-3</v>
      </c>
      <c r="L16" s="26">
        <f>'Data Sheet'!K27/'Data Sheet'!K$17</f>
        <v>5.7970950038691779E-3</v>
      </c>
    </row>
    <row r="17" spans="1:12" x14ac:dyDescent="0.3">
      <c r="B17" s="75" t="str">
        <f>'Data Sheet'!A28</f>
        <v>Profit before tax</v>
      </c>
      <c r="C17" s="26">
        <f>'Data Sheet'!B28/'Data Sheet'!B$17</f>
        <v>0.28652048676248737</v>
      </c>
      <c r="D17" s="26">
        <f>'Data Sheet'!C28/'Data Sheet'!C$17</f>
        <v>0.131334500590046</v>
      </c>
      <c r="E17" s="26">
        <f>'Data Sheet'!D28/'Data Sheet'!D$17</f>
        <v>0.13108827488972477</v>
      </c>
      <c r="F17" s="26">
        <f>'Data Sheet'!E28/'Data Sheet'!E$17</f>
        <v>0.15255698515416827</v>
      </c>
      <c r="G17" s="26">
        <f>'Data Sheet'!F28/'Data Sheet'!F$17</f>
        <v>8.3567923472765954E-2</v>
      </c>
      <c r="H17" s="26">
        <f>'Data Sheet'!G28/'Data Sheet'!G$17</f>
        <v>0.11593271570780005</v>
      </c>
      <c r="I17" s="26">
        <f>'Data Sheet'!H28/'Data Sheet'!H$17</f>
        <v>0.21438496566533777</v>
      </c>
      <c r="J17" s="26">
        <f>'Data Sheet'!I28/'Data Sheet'!I$17</f>
        <v>0.22863113789864703</v>
      </c>
      <c r="K17" s="26">
        <f>'Data Sheet'!J28/'Data Sheet'!J$17</f>
        <v>0.26155454593175453</v>
      </c>
      <c r="L17" s="26">
        <f>'Data Sheet'!K28/'Data Sheet'!K$17</f>
        <v>0.25861020244931582</v>
      </c>
    </row>
    <row r="18" spans="1:12" x14ac:dyDescent="0.3">
      <c r="B18" s="75" t="str">
        <f>'Data Sheet'!A29</f>
        <v>Tax</v>
      </c>
      <c r="C18" s="26">
        <f>'Data Sheet'!B29/'Data Sheet'!B$17</f>
        <v>3.8366999763129531E-2</v>
      </c>
      <c r="D18" s="26">
        <f>'Data Sheet'!C29/'Data Sheet'!C$17</f>
        <v>3.4392547073439778E-2</v>
      </c>
      <c r="E18" s="26">
        <f>'Data Sheet'!D29/'Data Sheet'!D$17</f>
        <v>2.0673015226428487E-2</v>
      </c>
      <c r="F18" s="26">
        <f>'Data Sheet'!E29/'Data Sheet'!E$17</f>
        <v>2.5056718690521507E-2</v>
      </c>
      <c r="G18" s="26">
        <f>'Data Sheet'!F29/'Data Sheet'!F$17</f>
        <v>1.5364733683720948E-2</v>
      </c>
      <c r="H18" s="26">
        <f>'Data Sheet'!G29/'Data Sheet'!G$17</f>
        <v>2.7823417150245677E-2</v>
      </c>
      <c r="I18" s="26">
        <f>'Data Sheet'!H29/'Data Sheet'!H$17</f>
        <v>1.9313589307491646E-2</v>
      </c>
      <c r="J18" s="26">
        <f>'Data Sheet'!I29/'Data Sheet'!I$17</f>
        <v>2.9681309198432478E-2</v>
      </c>
      <c r="K18" s="26">
        <f>'Data Sheet'!J29/'Data Sheet'!J$17</f>
        <v>5.2721800038190561E-2</v>
      </c>
      <c r="L18" s="26">
        <f>'Data Sheet'!K29/'Data Sheet'!K$17</f>
        <v>6.079774157726963E-2</v>
      </c>
    </row>
    <row r="19" spans="1:12" x14ac:dyDescent="0.3">
      <c r="B19" s="75" t="str">
        <f>'Data Sheet'!A30</f>
        <v>Net profit</v>
      </c>
      <c r="C19" s="26">
        <f>'Data Sheet'!B30/'Data Sheet'!B$17</f>
        <v>0.22054192670695577</v>
      </c>
      <c r="D19" s="26">
        <f>'Data Sheet'!C30/'Data Sheet'!C$17</f>
        <v>7.9114485535001458E-2</v>
      </c>
      <c r="E19" s="26">
        <f>'Data Sheet'!D30/'Data Sheet'!D$17</f>
        <v>9.170261657040843E-2</v>
      </c>
      <c r="F19" s="26">
        <f>'Data Sheet'!E30/'Data Sheet'!E$17</f>
        <v>0.11465336886181957</v>
      </c>
      <c r="G19" s="26">
        <f>'Data Sheet'!F30/'Data Sheet'!F$17</f>
        <v>8.6686007043973196E-2</v>
      </c>
      <c r="H19" s="26">
        <f>'Data Sheet'!G30/'Data Sheet'!G$17</f>
        <v>8.4666231529636024E-2</v>
      </c>
      <c r="I19" s="26">
        <f>'Data Sheet'!H30/'Data Sheet'!H$17</f>
        <v>0.19308302845028263</v>
      </c>
      <c r="J19" s="26">
        <f>'Data Sheet'!I30/'Data Sheet'!I$17</f>
        <v>0.19746395899939892</v>
      </c>
      <c r="K19" s="26">
        <f>'Data Sheet'!J30/'Data Sheet'!J$17</f>
        <v>0.20786162541148046</v>
      </c>
      <c r="L19" s="26">
        <f>'Data Sheet'!K30/'Data Sheet'!K$17</f>
        <v>0.19635681546521469</v>
      </c>
    </row>
    <row r="20" spans="1:12" x14ac:dyDescent="0.3">
      <c r="B20" s="75" t="str">
        <f>'Data Sheet'!A31</f>
        <v>Dividend Amount</v>
      </c>
      <c r="C20" s="26">
        <f>'Data Sheet'!B31/'Data Sheet'!B$17</f>
        <v>2.659282725809128E-2</v>
      </c>
      <c r="D20" s="26">
        <f>'Data Sheet'!C31/'Data Sheet'!C$17</f>
        <v>1.8115129564740089E-2</v>
      </c>
      <c r="E20" s="26">
        <f>'Data Sheet'!D31/'Data Sheet'!D$17</f>
        <v>2.2700476262398114E-2</v>
      </c>
      <c r="F20" s="26">
        <f>'Data Sheet'!E31/'Data Sheet'!E$17</f>
        <v>2.922634183479254E-2</v>
      </c>
      <c r="G20" s="26">
        <f>'Data Sheet'!F31/'Data Sheet'!F$17</f>
        <v>5.3718803491775963E-2</v>
      </c>
      <c r="H20" s="26">
        <f>'Data Sheet'!G31/'Data Sheet'!G$17</f>
        <v>6.2070408896870724E-2</v>
      </c>
      <c r="I20" s="26">
        <f>'Data Sheet'!H31/'Data Sheet'!H$17</f>
        <v>6.2872444952430953E-2</v>
      </c>
      <c r="J20" s="26">
        <f>'Data Sheet'!I31/'Data Sheet'!I$17</f>
        <v>6.6789080115512656E-2</v>
      </c>
      <c r="K20" s="26">
        <f>'Data Sheet'!J31/'Data Sheet'!J$17</f>
        <v>7.3012436276161857E-2</v>
      </c>
      <c r="L20" s="26">
        <f>'Data Sheet'!K31/'Data Sheet'!K$17</f>
        <v>6.5664489299381276E-2</v>
      </c>
    </row>
    <row r="21" spans="1:12" x14ac:dyDescent="0.3">
      <c r="B21" s="75" t="str">
        <f>'Data Sheet'!A32</f>
        <v>EBITDA</v>
      </c>
      <c r="C21" s="26">
        <f>'Data Sheet'!B32/'Data Sheet'!B$17</f>
        <v>0.31162052336974216</v>
      </c>
      <c r="D21" s="26">
        <f>'Data Sheet'!C32/'Data Sheet'!C$17</f>
        <v>0.18966600300647879</v>
      </c>
      <c r="E21" s="26">
        <f>'Data Sheet'!D32/'Data Sheet'!D$17</f>
        <v>0.19179857090316457</v>
      </c>
      <c r="F21" s="26">
        <f>'Data Sheet'!E32/'Data Sheet'!E$17</f>
        <v>0.21144240578606777</v>
      </c>
      <c r="G21" s="26">
        <f>'Data Sheet'!F32/'Data Sheet'!F$17</f>
        <v>0.16836427335965518</v>
      </c>
      <c r="H21" s="26">
        <f>'Data Sheet'!G32/'Data Sheet'!G$17</f>
        <v>0.17124323720219825</v>
      </c>
      <c r="I21" s="26">
        <f>'Data Sheet'!H32/'Data Sheet'!H$17</f>
        <v>0.27395268798387085</v>
      </c>
      <c r="J21" s="26">
        <f>'Data Sheet'!I32/'Data Sheet'!I$17</f>
        <v>0.28478014551460556</v>
      </c>
      <c r="K21" s="26">
        <f>'Data Sheet'!J32/'Data Sheet'!J$17</f>
        <v>0.31396557220031629</v>
      </c>
      <c r="L21" s="26">
        <f>'Data Sheet'!K32/'Data Sheet'!K$17</f>
        <v>0.31320391830322719</v>
      </c>
    </row>
    <row r="22" spans="1:12" x14ac:dyDescent="0.3">
      <c r="B22" s="75"/>
    </row>
    <row r="24" spans="1:12" x14ac:dyDescent="0.3">
      <c r="A24" t="s">
        <v>78</v>
      </c>
      <c r="B24" s="174" t="str">
        <f>"Commom Size Balance Sheet"&amp;" "&amp;"- "&amp;'[1]Data Set'!$B$1</f>
        <v>Commom Size Balance Sheet - SUN PHARMACEUTICAL INDUSTRIES LTD</v>
      </c>
      <c r="C24" s="174" t="str">
        <f>"Commom Size Income Statement"&amp;" "&amp;"- "&amp;'[1]Data Set'!$B$1</f>
        <v>Commom Size Income Statement - SUN PHARMACEUTICAL INDUSTRIES LTD</v>
      </c>
      <c r="D24" s="174" t="str">
        <f>"Commom Size Income Statement"&amp;" "&amp;"- "&amp;'[1]Data Set'!$B$1</f>
        <v>Commom Size Income Statement - SUN PHARMACEUTICAL INDUSTRIES LTD</v>
      </c>
      <c r="E24" s="174" t="str">
        <f>"Commom Size Income Statement"&amp;" "&amp;"- "&amp;'[1]Data Set'!$B$1</f>
        <v>Commom Size Income Statement - SUN PHARMACEUTICAL INDUSTRIES LTD</v>
      </c>
      <c r="F24" s="174" t="str">
        <f>"Commom Size Income Statement"&amp;" "&amp;"- "&amp;'[1]Data Set'!$B$1</f>
        <v>Commom Size Income Statement - SUN PHARMACEUTICAL INDUSTRIES LTD</v>
      </c>
      <c r="G24" s="174" t="str">
        <f>"Commom Size Income Statement"&amp;" "&amp;"- "&amp;'[1]Data Set'!$B$1</f>
        <v>Commom Size Income Statement - SUN PHARMACEUTICAL INDUSTRIES LTD</v>
      </c>
      <c r="H24" s="174" t="str">
        <f>"Commom Size Income Statement"&amp;" "&amp;"- "&amp;'[1]Data Set'!$B$1</f>
        <v>Commom Size Income Statement - SUN PHARMACEUTICAL INDUSTRIES LTD</v>
      </c>
      <c r="I24" s="174" t="str">
        <f>"Commom Size Income Statement"&amp;" "&amp;"- "&amp;'[1]Data Set'!$B$1</f>
        <v>Commom Size Income Statement - SUN PHARMACEUTICAL INDUSTRIES LTD</v>
      </c>
      <c r="J24" s="174" t="str">
        <f>"Commom Size Income Statement"&amp;" "&amp;"- "&amp;'[1]Data Set'!$B$1</f>
        <v>Commom Size Income Statement - SUN PHARMACEUTICAL INDUSTRIES LTD</v>
      </c>
      <c r="K24" s="174" t="str">
        <f>"Commom Size Income Statement"&amp;" "&amp;"- "&amp;'[1]Data Set'!$B$1</f>
        <v>Commom Size Income Statement - SUN PHARMACEUTICAL INDUSTRIES LTD</v>
      </c>
      <c r="L24" s="174" t="str">
        <f>"Commom Size Income Statement"&amp;" "&amp;"- "&amp;'[1]Data Set'!$B$1</f>
        <v>Commom Size Income Statement - SUN PHARMACEUTICAL INDUSTRIES LTD</v>
      </c>
    </row>
    <row r="26" spans="1:12" x14ac:dyDescent="0.3">
      <c r="B26" s="76" t="s">
        <v>210</v>
      </c>
      <c r="C26" s="77">
        <f>'Data Sheet'!B56</f>
        <v>42825</v>
      </c>
      <c r="D26" s="77">
        <f>'Data Sheet'!C56</f>
        <v>43190</v>
      </c>
      <c r="E26" s="77">
        <f>'Data Sheet'!D56</f>
        <v>43555</v>
      </c>
      <c r="F26" s="77">
        <f>'Data Sheet'!E56</f>
        <v>43921</v>
      </c>
      <c r="G26" s="77">
        <f>'Data Sheet'!F56</f>
        <v>44286</v>
      </c>
      <c r="H26" s="77">
        <f>'Data Sheet'!G56</f>
        <v>44651</v>
      </c>
      <c r="I26" s="77">
        <f>'Data Sheet'!H56</f>
        <v>45016</v>
      </c>
      <c r="J26" s="77">
        <f>'Data Sheet'!I56</f>
        <v>45382</v>
      </c>
      <c r="K26" s="77">
        <f>'Data Sheet'!J56</f>
        <v>45747</v>
      </c>
      <c r="L26" s="77">
        <f>'Data Sheet'!K56</f>
        <v>46112</v>
      </c>
    </row>
    <row r="28" spans="1:12" x14ac:dyDescent="0.3">
      <c r="B28" s="2" t="s">
        <v>100</v>
      </c>
      <c r="C28" s="26">
        <f>'Data Sheet'!B61/'Data Sheet'!B$61</f>
        <v>1</v>
      </c>
      <c r="D28" s="26">
        <f>'Data Sheet'!C61/'Data Sheet'!C$61</f>
        <v>1</v>
      </c>
      <c r="E28" s="26">
        <f>'Data Sheet'!D61/'Data Sheet'!D$61</f>
        <v>1</v>
      </c>
      <c r="F28" s="26">
        <f>'Data Sheet'!E61/'Data Sheet'!E$61</f>
        <v>1</v>
      </c>
      <c r="G28" s="26">
        <f>'Data Sheet'!F61/'Data Sheet'!F$61</f>
        <v>1</v>
      </c>
      <c r="H28" s="26">
        <f>'Data Sheet'!G61/'Data Sheet'!G$61</f>
        <v>1</v>
      </c>
      <c r="I28" s="26">
        <f>'Data Sheet'!H61/'Data Sheet'!H$61</f>
        <v>1</v>
      </c>
      <c r="J28" s="26">
        <f>'Data Sheet'!I61/'Data Sheet'!I$61</f>
        <v>1</v>
      </c>
      <c r="K28" s="26">
        <f>'Data Sheet'!J61/'Data Sheet'!J$61</f>
        <v>1</v>
      </c>
      <c r="L28" s="26">
        <f>'Data Sheet'!K61/'Data Sheet'!K$61</f>
        <v>1</v>
      </c>
    </row>
    <row r="29" spans="1:12" x14ac:dyDescent="0.3">
      <c r="B29" s="75" t="str">
        <f>'Data Sheet'!A57</f>
        <v>Equity Share Capital</v>
      </c>
      <c r="C29" s="26">
        <f>'Data Sheet'!B57/'Data Sheet'!B$61</f>
        <v>3.9271336899883713E-3</v>
      </c>
      <c r="D29" s="26">
        <f>'Data Sheet'!C57/'Data Sheet'!C$61</f>
        <v>3.7315667090063844E-3</v>
      </c>
      <c r="E29" s="26">
        <f>'Data Sheet'!D57/'Data Sheet'!D$61</f>
        <v>3.7146887428968754E-3</v>
      </c>
      <c r="F29" s="26">
        <f>'Data Sheet'!E57/'Data Sheet'!E$61</f>
        <v>3.5183282126722577E-3</v>
      </c>
      <c r="G29" s="26">
        <f>'Data Sheet'!F57/'Data Sheet'!F$61</f>
        <v>3.5480941027963885E-3</v>
      </c>
      <c r="H29" s="26">
        <f>'Data Sheet'!G57/'Data Sheet'!G$61</f>
        <v>3.4385793033727542E-3</v>
      </c>
      <c r="I29" s="26">
        <f>'Data Sheet'!H57/'Data Sheet'!H$61</f>
        <v>2.9726719356129644E-3</v>
      </c>
      <c r="J29" s="26">
        <f>'Data Sheet'!I57/'Data Sheet'!I$61</f>
        <v>2.8118623487142936E-3</v>
      </c>
      <c r="K29" s="26">
        <f>'Data Sheet'!J57/'Data Sheet'!J$61</f>
        <v>2.6105413513971671E-3</v>
      </c>
      <c r="L29" s="26">
        <f>'Data Sheet'!K57/'Data Sheet'!K$61</f>
        <v>2.205538583274456E-3</v>
      </c>
    </row>
    <row r="30" spans="1:12" x14ac:dyDescent="0.3">
      <c r="B30" s="75" t="str">
        <f>'Data Sheet'!A58</f>
        <v>Reserves</v>
      </c>
      <c r="C30" s="26">
        <f>'Data Sheet'!B58/'Data Sheet'!B$61</f>
        <v>0.59578479248454674</v>
      </c>
      <c r="D30" s="26">
        <f>'Data Sheet'!C58/'Data Sheet'!C$61</f>
        <v>0.59215747326602219</v>
      </c>
      <c r="E30" s="26">
        <f>'Data Sheet'!D58/'Data Sheet'!D$61</f>
        <v>0.63739633962346531</v>
      </c>
      <c r="F30" s="26">
        <f>'Data Sheet'!E58/'Data Sheet'!E$61</f>
        <v>0.66023856532332892</v>
      </c>
      <c r="G30" s="26">
        <f>'Data Sheet'!F58/'Data Sheet'!F$61</f>
        <v>0.68354529029067657</v>
      </c>
      <c r="H30" s="26">
        <f>'Data Sheet'!G58/'Data Sheet'!G$61</f>
        <v>0.68463872416712301</v>
      </c>
      <c r="I30" s="26">
        <f>'Data Sheet'!H58/'Data Sheet'!H$61</f>
        <v>0.69079590494090715</v>
      </c>
      <c r="J30" s="26">
        <f>'Data Sheet'!I58/'Data Sheet'!I$61</f>
        <v>0.74333133437535415</v>
      </c>
      <c r="K30" s="26">
        <f>'Data Sheet'!J58/'Data Sheet'!J$61</f>
        <v>0.78315250422867877</v>
      </c>
      <c r="L30" s="26">
        <f>'Data Sheet'!K58/'Data Sheet'!K$61</f>
        <v>0.7660062644539396</v>
      </c>
    </row>
    <row r="31" spans="1:12" x14ac:dyDescent="0.3">
      <c r="B31" s="75" t="str">
        <f>'Data Sheet'!A59</f>
        <v>Borrowings</v>
      </c>
      <c r="C31" s="26">
        <f>'Data Sheet'!B59/'Data Sheet'!B$61</f>
        <v>0.16092474971540435</v>
      </c>
      <c r="D31" s="26">
        <f>'Data Sheet'!C59/'Data Sheet'!C$61</f>
        <v>0.1615193089486214</v>
      </c>
      <c r="E31" s="26">
        <f>'Data Sheet'!D59/'Data Sheet'!D$61</f>
        <v>0.16278737436237731</v>
      </c>
      <c r="F31" s="26">
        <f>'Data Sheet'!E59/'Data Sheet'!E$61</f>
        <v>0.12192921639221563</v>
      </c>
      <c r="G31" s="26">
        <f>'Data Sheet'!F59/'Data Sheet'!F$61</f>
        <v>5.7208710391347693E-2</v>
      </c>
      <c r="H31" s="26">
        <f>'Data Sheet'!G59/'Data Sheet'!G$61</f>
        <v>1.8492055495944085E-2</v>
      </c>
      <c r="I31" s="26">
        <f>'Data Sheet'!H59/'Data Sheet'!H$61</f>
        <v>8.5314185392736386E-2</v>
      </c>
      <c r="J31" s="26">
        <f>'Data Sheet'!I59/'Data Sheet'!I$61</f>
        <v>3.8365812591653906E-2</v>
      </c>
      <c r="K31" s="26">
        <f>'Data Sheet'!J59/'Data Sheet'!J$61</f>
        <v>2.5701640790467526E-2</v>
      </c>
      <c r="L31" s="26">
        <f>'Data Sheet'!K59/'Data Sheet'!K$61</f>
        <v>4.2536293073636287E-2</v>
      </c>
    </row>
    <row r="32" spans="1:12" x14ac:dyDescent="0.3">
      <c r="B32" s="75" t="str">
        <f>'Data Sheet'!A60</f>
        <v>Other Liabilities</v>
      </c>
      <c r="C32" s="26">
        <f>'Data Sheet'!B60/'Data Sheet'!B$61</f>
        <v>0.23936332411006059</v>
      </c>
      <c r="D32" s="26">
        <f>'Data Sheet'!C60/'Data Sheet'!C$61</f>
        <v>0.24259165107635008</v>
      </c>
      <c r="E32" s="26">
        <f>'Data Sheet'!D60/'Data Sheet'!D$61</f>
        <v>0.19610159727126053</v>
      </c>
      <c r="F32" s="26">
        <f>'Data Sheet'!E60/'Data Sheet'!E$61</f>
        <v>0.21431389007178309</v>
      </c>
      <c r="G32" s="26">
        <f>'Data Sheet'!F60/'Data Sheet'!F$61</f>
        <v>0.25569790521517927</v>
      </c>
      <c r="H32" s="26">
        <f>'Data Sheet'!G60/'Data Sheet'!G$61</f>
        <v>0.29343064103356015</v>
      </c>
      <c r="I32" s="26">
        <f>'Data Sheet'!H60/'Data Sheet'!H$61</f>
        <v>0.22091723773074359</v>
      </c>
      <c r="J32" s="26">
        <f>'Data Sheet'!I60/'Data Sheet'!I$61</f>
        <v>0.21549099068427766</v>
      </c>
      <c r="K32" s="26">
        <f>'Data Sheet'!J60/'Data Sheet'!J$61</f>
        <v>0.18853531362945655</v>
      </c>
      <c r="L32" s="26">
        <f>'Data Sheet'!K60/'Data Sheet'!K$61</f>
        <v>0.18925190388914967</v>
      </c>
    </row>
    <row r="34" spans="2:12" x14ac:dyDescent="0.3">
      <c r="B34" s="2" t="s">
        <v>102</v>
      </c>
      <c r="C34" s="26">
        <f>'Data Sheet'!B75/'Data Sheet'!B$75</f>
        <v>1</v>
      </c>
      <c r="D34" s="26">
        <f>'Data Sheet'!C75/'Data Sheet'!C$75</f>
        <v>1</v>
      </c>
      <c r="E34" s="26">
        <f>'Data Sheet'!D75/'Data Sheet'!D$75</f>
        <v>1</v>
      </c>
      <c r="F34" s="26">
        <f>'Data Sheet'!E75/'Data Sheet'!E$75</f>
        <v>1</v>
      </c>
      <c r="G34" s="26">
        <f>'Data Sheet'!F75/'Data Sheet'!F$75</f>
        <v>1</v>
      </c>
      <c r="H34" s="26">
        <f>'Data Sheet'!G75/'Data Sheet'!G$75</f>
        <v>1</v>
      </c>
      <c r="I34" s="26">
        <f>'Data Sheet'!H75/'Data Sheet'!H$75</f>
        <v>1</v>
      </c>
      <c r="J34" s="26">
        <f>'Data Sheet'!I75/'Data Sheet'!I$75</f>
        <v>1</v>
      </c>
      <c r="K34" s="26">
        <f>'Data Sheet'!J75/'Data Sheet'!J$75</f>
        <v>1</v>
      </c>
      <c r="L34" s="26">
        <f>'Data Sheet'!K75/'Data Sheet'!K$75</f>
        <v>1</v>
      </c>
    </row>
    <row r="35" spans="2:12" x14ac:dyDescent="0.3">
      <c r="B35" s="75" t="str">
        <f>'Data Sheet'!A62</f>
        <v>Net Block</v>
      </c>
      <c r="C35" s="26">
        <f>'Data Sheet'!B62/'Data Sheet'!B$75</f>
        <v>0.28930419532060081</v>
      </c>
      <c r="D35" s="26">
        <f>'Data Sheet'!C62/'Data Sheet'!C$75</f>
        <v>0.29321019095798445</v>
      </c>
      <c r="E35" s="26">
        <f>'Data Sheet'!D62/'Data Sheet'!D$75</f>
        <v>0.33808172934529795</v>
      </c>
      <c r="F35" s="26">
        <f>'Data Sheet'!E62/'Data Sheet'!E$75</f>
        <v>0.33502658285910025</v>
      </c>
      <c r="G35" s="26">
        <f>'Data Sheet'!F62/'Data Sheet'!F$75</f>
        <v>0.31872630031962867</v>
      </c>
      <c r="H35" s="26">
        <f>'Data Sheet'!G62/'Data Sheet'!G$75</f>
        <v>0.3248278668096195</v>
      </c>
      <c r="I35" s="26">
        <f>'Data Sheet'!H62/'Data Sheet'!H$75</f>
        <v>0.298164706815228</v>
      </c>
      <c r="J35" s="26">
        <f>'Data Sheet'!I62/'Data Sheet'!I$75</f>
        <v>0.27245695687184684</v>
      </c>
      <c r="K35" s="26">
        <f>'Data Sheet'!J62/'Data Sheet'!J$75</f>
        <v>0.24574841793120825</v>
      </c>
      <c r="L35" s="26">
        <f>'Data Sheet'!K62/'Data Sheet'!K$75</f>
        <v>0.31707754049676967</v>
      </c>
    </row>
    <row r="36" spans="2:12" x14ac:dyDescent="0.3">
      <c r="B36" s="75" t="str">
        <f>'Data Sheet'!A63</f>
        <v>Capital Work in Progress</v>
      </c>
      <c r="C36" s="26">
        <f>'Data Sheet'!B63/'Data Sheet'!B$75</f>
        <v>4.5852514385277467E-2</v>
      </c>
      <c r="D36" s="26">
        <f>'Data Sheet'!C63/'Data Sheet'!C$75</f>
        <v>3.8339969942792387E-2</v>
      </c>
      <c r="E36" s="26">
        <f>'Data Sheet'!D63/'Data Sheet'!D$75</f>
        <v>2.1847968238815178E-2</v>
      </c>
      <c r="F36" s="26">
        <f>'Data Sheet'!E63/'Data Sheet'!E$75</f>
        <v>1.7895038765691918E-2</v>
      </c>
      <c r="G36" s="26">
        <f>'Data Sheet'!F63/'Data Sheet'!F$75</f>
        <v>2.3170342529423019E-2</v>
      </c>
      <c r="H36" s="26">
        <f>'Data Sheet'!G63/'Data Sheet'!G$75</f>
        <v>1.8441894917601218E-2</v>
      </c>
      <c r="I36" s="26">
        <f>'Data Sheet'!H63/'Data Sheet'!H$75</f>
        <v>6.1616192903400861E-2</v>
      </c>
      <c r="J36" s="26">
        <f>'Data Sheet'!I63/'Data Sheet'!I$75</f>
        <v>6.2744857214747984E-2</v>
      </c>
      <c r="K36" s="26">
        <f>'Data Sheet'!J63/'Data Sheet'!J$75</f>
        <v>7.2289135652184894E-2</v>
      </c>
      <c r="L36" s="26">
        <f>'Data Sheet'!K63/'Data Sheet'!K$75</f>
        <v>1.2691521881373223E-2</v>
      </c>
    </row>
    <row r="37" spans="2:12" x14ac:dyDescent="0.3">
      <c r="B37" s="75" t="str">
        <f>'Data Sheet'!A64</f>
        <v>Investments</v>
      </c>
      <c r="C37" s="26">
        <f>'Data Sheet'!B64/'Data Sheet'!B$75</f>
        <v>1.9508490403131497E-2</v>
      </c>
      <c r="D37" s="26">
        <f>'Data Sheet'!C64/'Data Sheet'!C$75</f>
        <v>0.11109113449239541</v>
      </c>
      <c r="E37" s="26">
        <f>'Data Sheet'!D64/'Data Sheet'!D$75</f>
        <v>0.12235001555205618</v>
      </c>
      <c r="F37" s="26">
        <f>'Data Sheet'!E64/'Data Sheet'!E$75</f>
        <v>0.14873834067118785</v>
      </c>
      <c r="G37" s="26">
        <f>'Data Sheet'!F64/'Data Sheet'!F$75</f>
        <v>0.14214928170060079</v>
      </c>
      <c r="H37" s="26">
        <f>'Data Sheet'!G64/'Data Sheet'!G$75</f>
        <v>0.18414077294011644</v>
      </c>
      <c r="I37" s="26">
        <f>'Data Sheet'!H64/'Data Sheet'!H$75</f>
        <v>0.18366981820524608</v>
      </c>
      <c r="J37" s="26">
        <f>'Data Sheet'!I64/'Data Sheet'!I$75</f>
        <v>0.17609468146309662</v>
      </c>
      <c r="K37" s="26">
        <f>'Data Sheet'!J64/'Data Sheet'!J$75</f>
        <v>0.1996972194193028</v>
      </c>
      <c r="L37" s="26">
        <f>'Data Sheet'!K64/'Data Sheet'!K$75</f>
        <v>0.22725991637466927</v>
      </c>
    </row>
    <row r="38" spans="2:12" x14ac:dyDescent="0.3">
      <c r="B38" s="75" t="str">
        <f>'Data Sheet'!A65</f>
        <v>Other Assets</v>
      </c>
      <c r="C38" s="26">
        <f>'Data Sheet'!B74/'Data Sheet'!B$75</f>
        <v>0.16778270722287822</v>
      </c>
      <c r="D38" s="26">
        <f>'Data Sheet'!C74/'Data Sheet'!C$75</f>
        <v>0.17436726436329686</v>
      </c>
      <c r="E38" s="26">
        <f>'Data Sheet'!D74/'Data Sheet'!D$75</f>
        <v>0.14543425226967899</v>
      </c>
      <c r="F38" s="26">
        <f>'Data Sheet'!E74/'Data Sheet'!E$75</f>
        <v>0.14957521388878134</v>
      </c>
      <c r="G38" s="26">
        <f>'Data Sheet'!F74/'Data Sheet'!F$75</f>
        <v>0.15358901260561986</v>
      </c>
      <c r="H38" s="26">
        <f>'Data Sheet'!G74/'Data Sheet'!G$75</f>
        <v>0.12228131456830875</v>
      </c>
      <c r="I38" s="26">
        <f>'Data Sheet'!H74/'Data Sheet'!H$75</f>
        <v>0.11308258137895405</v>
      </c>
      <c r="J38" s="26">
        <f>'Data Sheet'!I74/'Data Sheet'!I$75</f>
        <v>0.11791762097670636</v>
      </c>
      <c r="K38" s="26">
        <f>'Data Sheet'!J74/'Data Sheet'!J$75</f>
        <v>0.10557323867069875</v>
      </c>
      <c r="L38" s="26">
        <f>'Data Sheet'!K74/'Data Sheet'!K$75</f>
        <v>8.8091194741344428E-2</v>
      </c>
    </row>
    <row r="39" spans="2:12" x14ac:dyDescent="0.3">
      <c r="B39" s="75" t="str">
        <f>'Data Sheet'!A67</f>
        <v>Receivables</v>
      </c>
      <c r="C39" s="26">
        <f>'Data Sheet'!B67/'Data Sheet'!B$75</f>
        <v>0.11789110318362497</v>
      </c>
      <c r="D39" s="26">
        <f>'Data Sheet'!C67/'Data Sheet'!C$75</f>
        <v>0.12154894623249871</v>
      </c>
      <c r="E39" s="26">
        <f>'Data Sheet'!D67/'Data Sheet'!D$75</f>
        <v>0.13754860888444306</v>
      </c>
      <c r="F39" s="26">
        <f>'Data Sheet'!E67/'Data Sheet'!E$75</f>
        <v>0.13815285495918134</v>
      </c>
      <c r="G39" s="26">
        <f>'Data Sheet'!F67/'Data Sheet'!F$75</f>
        <v>0.13400033302662939</v>
      </c>
      <c r="H39" s="26">
        <f>'Data Sheet'!G67/'Data Sheet'!G$75</f>
        <v>0.15026088516796127</v>
      </c>
      <c r="I39" s="26">
        <f>'Data Sheet'!H67/'Data Sheet'!H$75</f>
        <v>0.14172024199653335</v>
      </c>
      <c r="J39" s="26">
        <f>'Data Sheet'!I67/'Data Sheet'!I$75</f>
        <v>0.13183711895034433</v>
      </c>
      <c r="K39" s="26">
        <f>'Data Sheet'!J67/'Data Sheet'!J$75</f>
        <v>0.14194727474628471</v>
      </c>
      <c r="L39" s="26">
        <f>'Data Sheet'!K67/'Data Sheet'!K$75</f>
        <v>0.14257148167738229</v>
      </c>
    </row>
    <row r="40" spans="2:12" x14ac:dyDescent="0.3">
      <c r="B40" s="75" t="str">
        <f>'Data Sheet'!A68</f>
        <v>Inventory</v>
      </c>
      <c r="C40" s="26">
        <f>'Data Sheet'!B68/'Data Sheet'!B$75</f>
        <v>0.11183827928266345</v>
      </c>
      <c r="D40" s="26">
        <f>'Data Sheet'!C68/'Data Sheet'!C$75</f>
        <v>0.10701351952233208</v>
      </c>
      <c r="E40" s="26">
        <f>'Data Sheet'!D68/'Data Sheet'!D$75</f>
        <v>0.12209378207272913</v>
      </c>
      <c r="F40" s="26">
        <f>'Data Sheet'!E68/'Data Sheet'!E$75</f>
        <v>0.11547867916272204</v>
      </c>
      <c r="G40" s="26">
        <f>'Data Sheet'!F68/'Data Sheet'!F$75</f>
        <v>0.13304827910115935</v>
      </c>
      <c r="H40" s="26">
        <f>'Data Sheet'!G68/'Data Sheet'!G$75</f>
        <v>0.12791133788151238</v>
      </c>
      <c r="I40" s="26">
        <f>'Data Sheet'!H68/'Data Sheet'!H$75</f>
        <v>0.13025402697743454</v>
      </c>
      <c r="J40" s="26">
        <f>'Data Sheet'!I68/'Data Sheet'!I$75</f>
        <v>0.11565153626971941</v>
      </c>
      <c r="K40" s="26">
        <f>'Data Sheet'!J68/'Data Sheet'!J$75</f>
        <v>0.1114518257033599</v>
      </c>
      <c r="L40" s="26">
        <f>'Data Sheet'!K68/'Data Sheet'!K$75</f>
        <v>0.10564789959518397</v>
      </c>
    </row>
    <row r="41" spans="2:12" x14ac:dyDescent="0.3">
      <c r="B41" s="75" t="str">
        <f>'Data Sheet'!A69</f>
        <v>Cash &amp; Bank</v>
      </c>
      <c r="C41" s="26">
        <f>'Data Sheet'!B69/'Data Sheet'!B$75</f>
        <v>0.24782271020182356</v>
      </c>
      <c r="D41" s="26">
        <f>'Data Sheet'!C69/'Data Sheet'!C$75</f>
        <v>0.15442897448870008</v>
      </c>
      <c r="E41" s="26">
        <f>'Data Sheet'!D69/'Data Sheet'!D$75</f>
        <v>0.11264364363697957</v>
      </c>
      <c r="F41" s="26">
        <f>'Data Sheet'!E69/'Data Sheet'!E$75</f>
        <v>9.5133289693335163E-2</v>
      </c>
      <c r="G41" s="26">
        <f>'Data Sheet'!F69/'Data Sheet'!F$75</f>
        <v>9.5316450716938908E-2</v>
      </c>
      <c r="H41" s="26">
        <f>'Data Sheet'!G69/'Data Sheet'!G$75</f>
        <v>7.2135927714880393E-2</v>
      </c>
      <c r="I41" s="26">
        <f>'Data Sheet'!H69/'Data Sheet'!H$75</f>
        <v>7.1492431723203145E-2</v>
      </c>
      <c r="J41" s="26">
        <f>'Data Sheet'!I69/'Data Sheet'!I$75</f>
        <v>0.12329722825353852</v>
      </c>
      <c r="K41" s="26">
        <f>'Data Sheet'!J69/'Data Sheet'!J$75</f>
        <v>0.12329288787696063</v>
      </c>
      <c r="L41" s="26">
        <f>'Data Sheet'!K69/'Data Sheet'!K$75</f>
        <v>0.1066604452332771</v>
      </c>
    </row>
  </sheetData>
  <mergeCells count="2">
    <mergeCell ref="B2:L2"/>
    <mergeCell ref="B24:L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1373-B9D0-4B61-A93E-FA84A59700EC}">
  <sheetPr>
    <tabColor theme="8"/>
  </sheetPr>
  <dimension ref="A6:L45"/>
  <sheetViews>
    <sheetView showGridLines="0" topLeftCell="A18" zoomScaleNormal="100" workbookViewId="0">
      <selection activeCell="K44" sqref="K44"/>
    </sheetView>
  </sheetViews>
  <sheetFormatPr defaultRowHeight="14.4" x14ac:dyDescent="0.3"/>
  <cols>
    <col min="1" max="1" width="1.88671875" style="79" customWidth="1"/>
    <col min="2" max="2" width="23.88671875" style="79" customWidth="1"/>
    <col min="3" max="4" width="8" style="79" bestFit="1" customWidth="1"/>
    <col min="5" max="5" width="9.5546875" style="79" bestFit="1" customWidth="1"/>
    <col min="6" max="6" width="10.6640625" style="79" bestFit="1" customWidth="1"/>
    <col min="7" max="7" width="8.88671875" style="79"/>
    <col min="8" max="8" width="10.6640625" style="79" bestFit="1" customWidth="1"/>
    <col min="9" max="9" width="10.77734375" style="79" bestFit="1" customWidth="1"/>
    <col min="10" max="10" width="10.44140625" style="79" customWidth="1"/>
    <col min="11" max="11" width="11.6640625" style="79" bestFit="1" customWidth="1"/>
    <col min="12" max="12" width="14.77734375" style="79" customWidth="1"/>
    <col min="13" max="16384" width="8.88671875" style="79"/>
  </cols>
  <sheetData>
    <row r="6" spans="1:12" ht="15.6" x14ac:dyDescent="0.3">
      <c r="B6" s="117" t="s">
        <v>212</v>
      </c>
      <c r="C6" s="117"/>
      <c r="D6" s="117"/>
      <c r="E6" s="117"/>
      <c r="F6" s="117"/>
      <c r="G6" s="117"/>
      <c r="H6" s="117"/>
      <c r="I6" s="117"/>
      <c r="J6" s="117"/>
      <c r="K6" s="117"/>
      <c r="L6" s="116"/>
    </row>
    <row r="8" spans="1:12" x14ac:dyDescent="0.3">
      <c r="B8" s="86" t="s">
        <v>259</v>
      </c>
    </row>
    <row r="10" spans="1:12" x14ac:dyDescent="0.3">
      <c r="B10" s="115" t="s">
        <v>258</v>
      </c>
    </row>
    <row r="11" spans="1:12" x14ac:dyDescent="0.3">
      <c r="A11" s="114"/>
      <c r="B11" s="114"/>
      <c r="C11" s="114"/>
      <c r="D11" s="114"/>
      <c r="E11" s="114"/>
      <c r="F11" s="114"/>
      <c r="G11" s="114"/>
      <c r="H11" s="113" t="s">
        <v>257</v>
      </c>
      <c r="I11" s="113" t="s">
        <v>256</v>
      </c>
      <c r="J11" s="113" t="s">
        <v>255</v>
      </c>
      <c r="K11" s="113" t="s">
        <v>254</v>
      </c>
    </row>
    <row r="12" spans="1:12" ht="16.2" x14ac:dyDescent="0.3">
      <c r="A12" s="87"/>
      <c r="B12" s="87" t="s">
        <v>253</v>
      </c>
      <c r="C12" s="87"/>
      <c r="D12" s="87" t="s">
        <v>252</v>
      </c>
      <c r="E12" s="87" t="s">
        <v>226</v>
      </c>
      <c r="F12" s="87" t="s">
        <v>251</v>
      </c>
      <c r="G12" s="87" t="s">
        <v>250</v>
      </c>
      <c r="H12" s="112" t="s">
        <v>214</v>
      </c>
      <c r="I12" s="112" t="s">
        <v>249</v>
      </c>
      <c r="J12" s="112" t="s">
        <v>248</v>
      </c>
      <c r="K12" s="112" t="s">
        <v>247</v>
      </c>
    </row>
    <row r="14" spans="1:12" x14ac:dyDescent="0.3">
      <c r="B14" s="106" t="s">
        <v>246</v>
      </c>
      <c r="C14" s="106"/>
      <c r="D14" s="106" t="s">
        <v>241</v>
      </c>
      <c r="E14" s="96">
        <v>1139</v>
      </c>
      <c r="F14" s="96">
        <v>611503.89</v>
      </c>
      <c r="G14" s="111">
        <v>0.3</v>
      </c>
      <c r="H14" s="89">
        <f>E14/F14</f>
        <v>1.8626210211025803E-3</v>
      </c>
      <c r="I14" s="89">
        <f>E14/(E14+F14)</f>
        <v>1.8591581141176713E-3</v>
      </c>
      <c r="J14" s="110">
        <v>1</v>
      </c>
      <c r="K14" s="90">
        <f>J14/(1+(1-G14)*H14)</f>
        <v>0.99869786305657837</v>
      </c>
    </row>
    <row r="15" spans="1:12" x14ac:dyDescent="0.3">
      <c r="B15" s="106" t="s">
        <v>245</v>
      </c>
      <c r="C15" s="106"/>
      <c r="D15" s="106" t="s">
        <v>241</v>
      </c>
      <c r="E15" s="96">
        <v>279.89999999999998</v>
      </c>
      <c r="F15" s="96">
        <v>182975.03</v>
      </c>
      <c r="G15" s="111">
        <v>0.3</v>
      </c>
      <c r="H15" s="89">
        <f>E15/F15</f>
        <v>1.529716923669858E-3</v>
      </c>
      <c r="I15" s="89">
        <f>E15/(E15+F15)</f>
        <v>1.5273804639253088E-3</v>
      </c>
      <c r="J15" s="110">
        <v>1</v>
      </c>
      <c r="K15" s="90">
        <f>J15/(1+(1-G15)*H15)</f>
        <v>0.99893034354353993</v>
      </c>
    </row>
    <row r="16" spans="1:12" x14ac:dyDescent="0.3">
      <c r="B16" s="106" t="s">
        <v>244</v>
      </c>
      <c r="C16" s="106"/>
      <c r="D16" s="106" t="s">
        <v>241</v>
      </c>
      <c r="E16" s="96">
        <v>3037.7</v>
      </c>
      <c r="F16" s="96">
        <v>110689.96</v>
      </c>
      <c r="G16" s="111">
        <v>0.3</v>
      </c>
      <c r="H16" s="89">
        <f>E16/F16</f>
        <v>2.7443320062632597E-2</v>
      </c>
      <c r="I16" s="89">
        <f>E16/(E16+F16)</f>
        <v>2.671030073071054E-2</v>
      </c>
      <c r="J16" s="110">
        <v>1</v>
      </c>
      <c r="K16" s="90">
        <f>J16/(1+(1-G16)*H16)</f>
        <v>0.98115175681539069</v>
      </c>
    </row>
    <row r="17" spans="1:11" x14ac:dyDescent="0.3">
      <c r="B17" s="106" t="s">
        <v>243</v>
      </c>
      <c r="C17" s="106"/>
      <c r="D17" s="106" t="s">
        <v>241</v>
      </c>
      <c r="E17" s="96">
        <v>1164.5</v>
      </c>
      <c r="F17" s="96">
        <v>96256.38</v>
      </c>
      <c r="G17" s="111">
        <v>0.3</v>
      </c>
      <c r="H17" s="89">
        <f>E17/F17</f>
        <v>1.2097899380799484E-2</v>
      </c>
      <c r="I17" s="89">
        <f>E17/(E17+F17)</f>
        <v>1.1953289684921754E-2</v>
      </c>
      <c r="J17" s="110">
        <v>1</v>
      </c>
      <c r="K17" s="90">
        <f>J17/(1+(1-G17)*H17)</f>
        <v>0.99160258419744696</v>
      </c>
    </row>
    <row r="18" spans="1:11" x14ac:dyDescent="0.3">
      <c r="B18" s="106" t="s">
        <v>242</v>
      </c>
      <c r="C18" s="106"/>
      <c r="D18" s="106" t="s">
        <v>241</v>
      </c>
      <c r="E18" s="96">
        <v>1068.0999999999999</v>
      </c>
      <c r="F18" s="96">
        <v>94940.38</v>
      </c>
      <c r="G18" s="111">
        <v>0.3</v>
      </c>
      <c r="H18" s="89">
        <f>E18/F18</f>
        <v>1.1250218294892015E-2</v>
      </c>
      <c r="I18" s="89">
        <f>E18/(E18+F18)</f>
        <v>1.1125058953125806E-2</v>
      </c>
      <c r="J18" s="110">
        <v>1</v>
      </c>
      <c r="K18" s="90">
        <f>J18/(1+(1-G18)*H18)</f>
        <v>0.99218638064000675</v>
      </c>
    </row>
    <row r="20" spans="1:11" x14ac:dyDescent="0.3">
      <c r="F20" s="109" t="s">
        <v>240</v>
      </c>
      <c r="G20" s="108">
        <f>AVERAGE(G14:G18)</f>
        <v>0.3</v>
      </c>
      <c r="H20" s="108">
        <f>AVERAGE(H14:H18)</f>
        <v>1.0836755136619306E-2</v>
      </c>
      <c r="I20" s="108">
        <f>AVERAGE(I14:I18)</f>
        <v>1.0635037589360217E-2</v>
      </c>
      <c r="J20" s="107">
        <f>AVERAGE(J14:J18)</f>
        <v>1</v>
      </c>
      <c r="K20" s="107">
        <f>AVERAGE(K14:K18)</f>
        <v>0.99251378565059256</v>
      </c>
    </row>
    <row r="21" spans="1:11" x14ac:dyDescent="0.3">
      <c r="D21" s="106" t="s">
        <v>207</v>
      </c>
      <c r="F21" s="88" t="s">
        <v>178</v>
      </c>
      <c r="G21" s="105">
        <f>MEDIAN(G14:G18)</f>
        <v>0.3</v>
      </c>
      <c r="H21" s="105">
        <f>MEDIAN(H14:H18)</f>
        <v>1.1250218294892015E-2</v>
      </c>
      <c r="I21" s="105">
        <f>MEDIAN(I14:I18)</f>
        <v>1.1125058953125806E-2</v>
      </c>
      <c r="J21" s="104">
        <f>MEDIAN(J14:J18)</f>
        <v>1</v>
      </c>
      <c r="K21" s="104">
        <f>MEDIAN(K14:K18)</f>
        <v>0.99218638064000675</v>
      </c>
    </row>
    <row r="24" spans="1:11" x14ac:dyDescent="0.3">
      <c r="B24" s="88" t="s">
        <v>239</v>
      </c>
      <c r="C24" s="87"/>
      <c r="D24" s="87"/>
      <c r="E24" s="87"/>
      <c r="G24" s="88" t="s">
        <v>231</v>
      </c>
      <c r="H24" s="87"/>
      <c r="I24" s="87"/>
      <c r="J24" s="87"/>
      <c r="K24" s="87"/>
    </row>
    <row r="26" spans="1:11" x14ac:dyDescent="0.3">
      <c r="A26" s="79" t="s">
        <v>207</v>
      </c>
      <c r="B26" s="79" t="s">
        <v>238</v>
      </c>
      <c r="E26" s="97">
        <v>8.4000000000000005E-2</v>
      </c>
      <c r="G26" s="79" t="s">
        <v>237</v>
      </c>
      <c r="K26" s="97">
        <v>6.5000000000000002E-2</v>
      </c>
    </row>
    <row r="27" spans="1:11" x14ac:dyDescent="0.3">
      <c r="B27" s="79" t="s">
        <v>236</v>
      </c>
      <c r="D27" s="79" t="s">
        <v>235</v>
      </c>
      <c r="E27" s="97">
        <v>0.3</v>
      </c>
      <c r="G27" s="79" t="s">
        <v>234</v>
      </c>
      <c r="K27" s="103">
        <v>0.08</v>
      </c>
    </row>
    <row r="28" spans="1:11" ht="16.2" x14ac:dyDescent="0.3">
      <c r="B28" s="102" t="s">
        <v>233</v>
      </c>
      <c r="C28" s="102"/>
      <c r="D28" s="83"/>
      <c r="E28" s="101">
        <f>E26*(1-E27)</f>
        <v>5.8799999999999998E-2</v>
      </c>
      <c r="G28" s="79" t="s">
        <v>232</v>
      </c>
      <c r="K28" s="100">
        <f>K37</f>
        <v>1.5055349862754883</v>
      </c>
    </row>
    <row r="29" spans="1:11" x14ac:dyDescent="0.3">
      <c r="G29" s="83" t="s">
        <v>231</v>
      </c>
      <c r="H29" s="83"/>
      <c r="I29" s="83"/>
      <c r="J29" s="83"/>
      <c r="K29" s="99">
        <f>K26+K27*K28</f>
        <v>0.18544279890203907</v>
      </c>
    </row>
    <row r="32" spans="1:11" x14ac:dyDescent="0.3">
      <c r="B32" s="88" t="s">
        <v>230</v>
      </c>
      <c r="C32" s="87"/>
      <c r="D32" s="87"/>
      <c r="G32" s="88" t="s">
        <v>222</v>
      </c>
      <c r="H32" s="87"/>
      <c r="I32" s="87"/>
      <c r="J32" s="87"/>
      <c r="K32" s="87"/>
    </row>
    <row r="34" spans="2:11" x14ac:dyDescent="0.3">
      <c r="D34" s="85" t="s">
        <v>229</v>
      </c>
      <c r="E34" s="85" t="s">
        <v>228</v>
      </c>
      <c r="G34" s="79" t="s">
        <v>227</v>
      </c>
      <c r="K34" s="98">
        <f>K21</f>
        <v>0.99218638064000675</v>
      </c>
    </row>
    <row r="35" spans="2:11" x14ac:dyDescent="0.3">
      <c r="B35" s="79" t="s">
        <v>226</v>
      </c>
      <c r="C35" s="96">
        <v>17440</v>
      </c>
      <c r="D35" s="95">
        <f>C35/$C$37</f>
        <v>0.35087013378935722</v>
      </c>
      <c r="E35" s="97">
        <v>0.42499999999999999</v>
      </c>
      <c r="G35" s="79" t="s">
        <v>225</v>
      </c>
      <c r="K35" s="84">
        <f>E39</f>
        <v>0.73913043478260876</v>
      </c>
    </row>
    <row r="36" spans="2:11" x14ac:dyDescent="0.3">
      <c r="B36" s="79" t="s">
        <v>64</v>
      </c>
      <c r="C36" s="96">
        <v>32265</v>
      </c>
      <c r="D36" s="95">
        <f>C36/$C$37</f>
        <v>0.64912986621064284</v>
      </c>
      <c r="E36" s="84">
        <f>E37-E35</f>
        <v>0.57499999999999996</v>
      </c>
      <c r="G36" s="79" t="s">
        <v>224</v>
      </c>
      <c r="K36" s="94">
        <f>E27</f>
        <v>0.3</v>
      </c>
    </row>
    <row r="37" spans="2:11" x14ac:dyDescent="0.3">
      <c r="B37" s="83" t="s">
        <v>223</v>
      </c>
      <c r="C37" s="93">
        <f>SUM(C35:C36)</f>
        <v>49705</v>
      </c>
      <c r="D37" s="92">
        <f>C37/$C$37</f>
        <v>1</v>
      </c>
      <c r="E37" s="91">
        <f>D37</f>
        <v>1</v>
      </c>
      <c r="G37" s="83" t="s">
        <v>222</v>
      </c>
      <c r="H37" s="83"/>
      <c r="I37" s="83"/>
      <c r="J37" s="83"/>
      <c r="K37" s="90">
        <f>K34*(1+(1-K36)*K35)</f>
        <v>1.5055349862754883</v>
      </c>
    </row>
    <row r="39" spans="2:11" x14ac:dyDescent="0.3">
      <c r="B39" s="79" t="s">
        <v>221</v>
      </c>
      <c r="D39" s="89">
        <f>D35/D36</f>
        <v>0.54052378738571205</v>
      </c>
      <c r="E39" s="89">
        <f>E35/E36</f>
        <v>0.73913043478260876</v>
      </c>
      <c r="G39" s="88" t="s">
        <v>212</v>
      </c>
      <c r="H39" s="87"/>
      <c r="I39" s="87"/>
      <c r="J39" s="87"/>
      <c r="K39" s="87"/>
    </row>
    <row r="41" spans="2:11" x14ac:dyDescent="0.3">
      <c r="B41" s="86" t="s">
        <v>220</v>
      </c>
      <c r="J41" s="85" t="s">
        <v>219</v>
      </c>
      <c r="K41" s="85" t="s">
        <v>218</v>
      </c>
    </row>
    <row r="42" spans="2:11" x14ac:dyDescent="0.3">
      <c r="B42" s="81" t="s">
        <v>217</v>
      </c>
      <c r="C42" s="80"/>
      <c r="D42" s="80"/>
      <c r="G42" s="79" t="s">
        <v>216</v>
      </c>
      <c r="J42" s="84">
        <f>E28</f>
        <v>5.8799999999999998E-2</v>
      </c>
      <c r="K42" s="84">
        <f>E35</f>
        <v>0.42499999999999999</v>
      </c>
    </row>
    <row r="43" spans="2:11" x14ac:dyDescent="0.3">
      <c r="B43" s="81" t="s">
        <v>215</v>
      </c>
      <c r="C43" s="80"/>
      <c r="D43" s="80"/>
      <c r="G43" s="79" t="s">
        <v>214</v>
      </c>
      <c r="J43" s="84">
        <f>K29</f>
        <v>0.18544279890203907</v>
      </c>
      <c r="K43" s="84">
        <f>E36</f>
        <v>0.57499999999999996</v>
      </c>
    </row>
    <row r="44" spans="2:11" x14ac:dyDescent="0.3">
      <c r="B44" s="81" t="s">
        <v>213</v>
      </c>
      <c r="C44" s="80"/>
      <c r="D44" s="80"/>
      <c r="G44" s="83" t="s">
        <v>212</v>
      </c>
      <c r="H44" s="83"/>
      <c r="I44" s="83"/>
      <c r="J44" s="83"/>
      <c r="K44" s="82">
        <f>SUMPRODUCT(J42:J43,K42:K43)</f>
        <v>0.13161960936867245</v>
      </c>
    </row>
    <row r="45" spans="2:11" x14ac:dyDescent="0.3">
      <c r="B45" s="81" t="s">
        <v>211</v>
      </c>
      <c r="C45" s="80"/>
      <c r="D45" s="8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B7E0-D0DC-4ED1-A14E-F41A1DA5E514}">
  <sheetPr>
    <tabColor theme="2"/>
  </sheetPr>
  <dimension ref="B2:U111"/>
  <sheetViews>
    <sheetView showGridLines="0" topLeftCell="A11" zoomScale="104" zoomScaleNormal="89" workbookViewId="0">
      <selection activeCell="B4" sqref="B4:D4"/>
    </sheetView>
  </sheetViews>
  <sheetFormatPr defaultRowHeight="14.4" x14ac:dyDescent="0.3"/>
  <cols>
    <col min="1" max="1" width="1.88671875" style="79" customWidth="1"/>
    <col min="2" max="2" width="16.5546875" style="79" customWidth="1"/>
    <col min="3" max="3" width="15.21875" style="79" customWidth="1"/>
    <col min="4" max="4" width="12" style="79" customWidth="1"/>
    <col min="5" max="8" width="8.88671875" style="79"/>
    <col min="9" max="9" width="17.44140625" style="79" customWidth="1"/>
    <col min="10" max="10" width="13.77734375" style="79" customWidth="1"/>
    <col min="11" max="12" width="8.88671875" style="79"/>
    <col min="13" max="13" width="17.44140625" style="79" bestFit="1" customWidth="1"/>
    <col min="14" max="16384" width="8.88671875" style="79"/>
  </cols>
  <sheetData>
    <row r="2" spans="2:14" x14ac:dyDescent="0.3">
      <c r="B2" s="115" t="s">
        <v>275</v>
      </c>
    </row>
    <row r="4" spans="2:14" x14ac:dyDescent="0.3">
      <c r="B4" s="175" t="s">
        <v>274</v>
      </c>
      <c r="C4" s="175"/>
      <c r="D4" s="175"/>
      <c r="F4" s="175" t="s">
        <v>273</v>
      </c>
      <c r="G4" s="175"/>
      <c r="I4" s="175" t="s">
        <v>272</v>
      </c>
      <c r="J4" s="175"/>
    </row>
    <row r="6" spans="2:14" x14ac:dyDescent="0.3">
      <c r="B6" s="129" t="s">
        <v>271</v>
      </c>
      <c r="C6" s="128" t="s">
        <v>270</v>
      </c>
      <c r="D6" s="128" t="s">
        <v>269</v>
      </c>
      <c r="F6" s="128" t="s">
        <v>270</v>
      </c>
      <c r="G6" s="128" t="s">
        <v>269</v>
      </c>
      <c r="I6" s="127" t="s">
        <v>268</v>
      </c>
      <c r="J6" s="98">
        <f>N8</f>
        <v>1.2421196304007396</v>
      </c>
    </row>
    <row r="7" spans="2:14" x14ac:dyDescent="0.3">
      <c r="B7" s="120">
        <v>44249</v>
      </c>
      <c r="C7" s="119">
        <v>2994.1999510000001</v>
      </c>
      <c r="F7" s="118">
        <v>14529.150390999999</v>
      </c>
      <c r="I7" s="79" t="s">
        <v>267</v>
      </c>
      <c r="J7" s="84">
        <v>0.75</v>
      </c>
      <c r="M7" s="126" t="s">
        <v>266</v>
      </c>
      <c r="N7" s="98">
        <f>SLOPE(D8:D111,G8:G111)</f>
        <v>1.24211963040074</v>
      </c>
    </row>
    <row r="8" spans="2:14" x14ac:dyDescent="0.3">
      <c r="B8" s="120">
        <v>44256</v>
      </c>
      <c r="C8" s="119">
        <v>3286.1000979999999</v>
      </c>
      <c r="D8" s="95">
        <f t="shared" ref="D8:D39" si="0">C8/C7-1</f>
        <v>9.7488528413912867E-2</v>
      </c>
      <c r="F8" s="118">
        <v>14938.099609000001</v>
      </c>
      <c r="G8" s="95">
        <f t="shared" ref="G8:G39" si="1">F8/F7-1</f>
        <v>2.8146808794361711E-2</v>
      </c>
      <c r="M8" s="126" t="s">
        <v>265</v>
      </c>
      <c r="N8" s="98">
        <f>_xlfn.COVARIANCE.S(D7:D111,G7:G111)/_xlfn.VAR.S(G7:G111)</f>
        <v>1.2421196304007396</v>
      </c>
    </row>
    <row r="9" spans="2:14" x14ac:dyDescent="0.3">
      <c r="B9" s="120">
        <v>44263</v>
      </c>
      <c r="C9" s="119">
        <v>3129.3500979999999</v>
      </c>
      <c r="D9" s="95">
        <f t="shared" si="0"/>
        <v>-4.7700920643105715E-2</v>
      </c>
      <c r="F9" s="118">
        <v>15030.950194999999</v>
      </c>
      <c r="G9" s="95">
        <f t="shared" si="1"/>
        <v>6.2156893065605789E-3</v>
      </c>
      <c r="I9" s="79" t="s">
        <v>264</v>
      </c>
      <c r="J9" s="98">
        <f>J7+J10</f>
        <v>1</v>
      </c>
    </row>
    <row r="10" spans="2:14" x14ac:dyDescent="0.3">
      <c r="B10" s="120">
        <v>44270</v>
      </c>
      <c r="C10" s="119">
        <v>2960.3000489999999</v>
      </c>
      <c r="D10" s="95">
        <f t="shared" si="0"/>
        <v>-5.402081700863115E-2</v>
      </c>
      <c r="F10" s="118">
        <v>14744</v>
      </c>
      <c r="G10" s="95">
        <f t="shared" si="1"/>
        <v>-1.9090622434199345E-2</v>
      </c>
      <c r="I10" s="79" t="s">
        <v>263</v>
      </c>
      <c r="J10" s="84">
        <v>0.25</v>
      </c>
      <c r="M10" s="126" t="s">
        <v>262</v>
      </c>
      <c r="N10" s="98">
        <f>N28</f>
        <v>1.2421196304007405</v>
      </c>
    </row>
    <row r="11" spans="2:14" x14ac:dyDescent="0.3">
      <c r="B11" s="120">
        <v>44277</v>
      </c>
      <c r="C11" s="119">
        <v>2855.1999510000001</v>
      </c>
      <c r="D11" s="95">
        <f t="shared" si="0"/>
        <v>-3.5503190980759936E-2</v>
      </c>
      <c r="F11" s="118">
        <v>14507.299805000001</v>
      </c>
      <c r="G11" s="95">
        <f t="shared" si="1"/>
        <v>-1.6054001288659747E-2</v>
      </c>
      <c r="M11" s="79" t="s">
        <v>183</v>
      </c>
    </row>
    <row r="12" spans="2:14" ht="15" thickBot="1" x14ac:dyDescent="0.35">
      <c r="B12" s="120">
        <v>44284</v>
      </c>
      <c r="C12" s="119">
        <v>2912.6999510000001</v>
      </c>
      <c r="D12" s="95">
        <f t="shared" si="0"/>
        <v>2.0138694657745981E-2</v>
      </c>
      <c r="F12" s="118">
        <v>14867.349609000001</v>
      </c>
      <c r="G12" s="95">
        <f t="shared" si="1"/>
        <v>2.4818526454930545E-2</v>
      </c>
      <c r="I12" s="125" t="s">
        <v>261</v>
      </c>
      <c r="J12" s="124">
        <f>(J6*J7)+(J9*J10)</f>
        <v>1.1815897228005547</v>
      </c>
    </row>
    <row r="13" spans="2:14" x14ac:dyDescent="0.3">
      <c r="B13" s="120">
        <v>44291</v>
      </c>
      <c r="C13" s="119">
        <v>2947.75</v>
      </c>
      <c r="D13" s="95">
        <f t="shared" si="0"/>
        <v>1.2033525453923444E-2</v>
      </c>
      <c r="F13" s="118">
        <v>14834.849609000001</v>
      </c>
      <c r="G13" s="95">
        <f t="shared" si="1"/>
        <v>-2.1859982347038898E-3</v>
      </c>
      <c r="M13" s="123" t="s">
        <v>184</v>
      </c>
      <c r="N13" s="123"/>
    </row>
    <row r="14" spans="2:14" x14ac:dyDescent="0.3">
      <c r="B14" s="120">
        <v>44298</v>
      </c>
      <c r="C14" s="119">
        <v>2919.8999020000001</v>
      </c>
      <c r="D14" s="95">
        <f t="shared" si="0"/>
        <v>-9.4479172250020449E-3</v>
      </c>
      <c r="F14" s="118">
        <v>14617.849609000001</v>
      </c>
      <c r="G14" s="95">
        <f t="shared" si="1"/>
        <v>-1.4627718225626696E-2</v>
      </c>
      <c r="M14" s="79" t="s">
        <v>185</v>
      </c>
      <c r="N14" s="79">
        <v>0.51108084476327509</v>
      </c>
    </row>
    <row r="15" spans="2:14" x14ac:dyDescent="0.3">
      <c r="B15" s="120">
        <v>44305</v>
      </c>
      <c r="C15" s="119">
        <v>2713.6999510000001</v>
      </c>
      <c r="D15" s="95">
        <f t="shared" si="0"/>
        <v>-7.0618842398933679E-2</v>
      </c>
      <c r="F15" s="118">
        <v>14341.349609000001</v>
      </c>
      <c r="G15" s="95">
        <f t="shared" si="1"/>
        <v>-1.8915230857879606E-2</v>
      </c>
      <c r="M15" s="79" t="s">
        <v>186</v>
      </c>
      <c r="N15" s="79">
        <v>0.26120362988394291</v>
      </c>
    </row>
    <row r="16" spans="2:14" x14ac:dyDescent="0.3">
      <c r="B16" s="120">
        <v>44312</v>
      </c>
      <c r="C16" s="119">
        <v>2852.8999020000001</v>
      </c>
      <c r="D16" s="95">
        <f t="shared" si="0"/>
        <v>5.1295262377369699E-2</v>
      </c>
      <c r="F16" s="118">
        <v>14631.099609000001</v>
      </c>
      <c r="G16" s="95">
        <f t="shared" si="1"/>
        <v>2.0203816788495699E-2</v>
      </c>
      <c r="M16" s="79" t="s">
        <v>187</v>
      </c>
      <c r="N16" s="79">
        <v>0.2539605282161384</v>
      </c>
    </row>
    <row r="17" spans="2:21" x14ac:dyDescent="0.3">
      <c r="B17" s="120">
        <v>44319</v>
      </c>
      <c r="C17" s="119">
        <v>2895.5</v>
      </c>
      <c r="D17" s="95">
        <f t="shared" si="0"/>
        <v>1.4932209142751729E-2</v>
      </c>
      <c r="F17" s="118">
        <v>14823.150390999999</v>
      </c>
      <c r="G17" s="95">
        <f t="shared" si="1"/>
        <v>1.3126202891945438E-2</v>
      </c>
      <c r="M17" s="79" t="s">
        <v>188</v>
      </c>
      <c r="N17" s="79">
        <v>4.2285168880719627E-2</v>
      </c>
    </row>
    <row r="18" spans="2:21" ht="15" thickBot="1" x14ac:dyDescent="0.35">
      <c r="B18" s="120">
        <v>44326</v>
      </c>
      <c r="C18" s="119">
        <v>2844.6499020000001</v>
      </c>
      <c r="D18" s="95">
        <f t="shared" si="0"/>
        <v>-1.7561767570367759E-2</v>
      </c>
      <c r="F18" s="118">
        <v>14677.799805000001</v>
      </c>
      <c r="G18" s="95">
        <f t="shared" si="1"/>
        <v>-9.8056473938393784E-3</v>
      </c>
      <c r="M18" s="121" t="s">
        <v>189</v>
      </c>
      <c r="N18" s="121">
        <v>104</v>
      </c>
    </row>
    <row r="19" spans="2:21" x14ac:dyDescent="0.3">
      <c r="B19" s="120">
        <v>44333</v>
      </c>
      <c r="C19" s="119">
        <v>3034.1499020000001</v>
      </c>
      <c r="D19" s="95">
        <f t="shared" si="0"/>
        <v>6.6616281977886826E-2</v>
      </c>
      <c r="F19" s="118">
        <v>15175.299805000001</v>
      </c>
      <c r="G19" s="95">
        <f t="shared" si="1"/>
        <v>3.3894725817865901E-2</v>
      </c>
    </row>
    <row r="20" spans="2:21" ht="15" thickBot="1" x14ac:dyDescent="0.35">
      <c r="B20" s="120">
        <v>44340</v>
      </c>
      <c r="C20" s="119">
        <v>3022.1000979999999</v>
      </c>
      <c r="D20" s="95">
        <f t="shared" si="0"/>
        <v>-3.971393764051534E-3</v>
      </c>
      <c r="F20" s="118">
        <v>15435.650390999999</v>
      </c>
      <c r="G20" s="95">
        <f t="shared" si="1"/>
        <v>1.7156207082921426E-2</v>
      </c>
      <c r="M20" s="79" t="s">
        <v>190</v>
      </c>
    </row>
    <row r="21" spans="2:21" x14ac:dyDescent="0.3">
      <c r="B21" s="120">
        <v>44347</v>
      </c>
      <c r="C21" s="119">
        <v>3197</v>
      </c>
      <c r="D21" s="95">
        <f t="shared" si="0"/>
        <v>5.7873629703975471E-2</v>
      </c>
      <c r="F21" s="118">
        <v>15670.25</v>
      </c>
      <c r="G21" s="95">
        <f t="shared" si="1"/>
        <v>1.5198556786229611E-2</v>
      </c>
      <c r="M21" s="122"/>
      <c r="N21" s="122" t="s">
        <v>194</v>
      </c>
      <c r="O21" s="122" t="s">
        <v>195</v>
      </c>
      <c r="P21" s="122" t="s">
        <v>196</v>
      </c>
      <c r="Q21" s="122" t="s">
        <v>197</v>
      </c>
      <c r="R21" s="122" t="s">
        <v>198</v>
      </c>
    </row>
    <row r="22" spans="2:21" x14ac:dyDescent="0.3">
      <c r="B22" s="120">
        <v>44354</v>
      </c>
      <c r="C22" s="119">
        <v>3175.5500489999999</v>
      </c>
      <c r="D22" s="95">
        <f t="shared" si="0"/>
        <v>-6.7093997497654767E-3</v>
      </c>
      <c r="F22" s="118">
        <v>15799.349609000001</v>
      </c>
      <c r="G22" s="95">
        <f t="shared" si="1"/>
        <v>8.2385162329892125E-3</v>
      </c>
      <c r="M22" s="79" t="s">
        <v>191</v>
      </c>
      <c r="N22" s="79">
        <v>1</v>
      </c>
      <c r="O22" s="79">
        <v>6.4480851751198193E-2</v>
      </c>
      <c r="P22" s="79">
        <v>6.4480851751198193E-2</v>
      </c>
      <c r="Q22" s="79">
        <v>36.062400041268319</v>
      </c>
      <c r="R22" s="79">
        <v>2.9630301858897445E-8</v>
      </c>
    </row>
    <row r="23" spans="2:21" x14ac:dyDescent="0.3">
      <c r="B23" s="120">
        <v>44361</v>
      </c>
      <c r="C23" s="119">
        <v>3317.6999510000001</v>
      </c>
      <c r="D23" s="95">
        <f t="shared" si="0"/>
        <v>4.476386761555351E-2</v>
      </c>
      <c r="F23" s="118">
        <v>15683.349609000001</v>
      </c>
      <c r="G23" s="95">
        <f t="shared" si="1"/>
        <v>-7.3420743809555766E-3</v>
      </c>
      <c r="M23" s="79" t="s">
        <v>192</v>
      </c>
      <c r="N23" s="79">
        <v>102</v>
      </c>
      <c r="O23" s="79">
        <v>0.18237962174163994</v>
      </c>
      <c r="P23" s="79">
        <v>1.7880355072709797E-3</v>
      </c>
    </row>
    <row r="24" spans="2:21" ht="15" thickBot="1" x14ac:dyDescent="0.35">
      <c r="B24" s="120">
        <v>44368</v>
      </c>
      <c r="C24" s="119">
        <v>3315.3500979999999</v>
      </c>
      <c r="D24" s="95">
        <f t="shared" si="0"/>
        <v>-7.082777329794343E-4</v>
      </c>
      <c r="F24" s="118">
        <v>15860.349609000001</v>
      </c>
      <c r="G24" s="95">
        <f t="shared" si="1"/>
        <v>1.1285854387791394E-2</v>
      </c>
      <c r="M24" s="121" t="s">
        <v>26</v>
      </c>
      <c r="N24" s="121">
        <v>103</v>
      </c>
      <c r="O24" s="121">
        <v>0.24686047349283813</v>
      </c>
      <c r="P24" s="121"/>
      <c r="Q24" s="121"/>
      <c r="R24" s="121"/>
    </row>
    <row r="25" spans="2:21" ht="15" thickBot="1" x14ac:dyDescent="0.35">
      <c r="B25" s="120">
        <v>44375</v>
      </c>
      <c r="C25" s="119">
        <v>3314.3000489999999</v>
      </c>
      <c r="D25" s="95">
        <f t="shared" si="0"/>
        <v>-3.1672341350419408E-4</v>
      </c>
      <c r="F25" s="118">
        <v>15722.200194999999</v>
      </c>
      <c r="G25" s="95">
        <f t="shared" si="1"/>
        <v>-8.7103637313018512E-3</v>
      </c>
    </row>
    <row r="26" spans="2:21" x14ac:dyDescent="0.3">
      <c r="B26" s="120">
        <v>44382</v>
      </c>
      <c r="C26" s="119">
        <v>3377.6000979999999</v>
      </c>
      <c r="D26" s="95">
        <f t="shared" si="0"/>
        <v>1.9099070109569238E-2</v>
      </c>
      <c r="F26" s="118">
        <v>15689.799805000001</v>
      </c>
      <c r="G26" s="95">
        <f t="shared" si="1"/>
        <v>-2.0608050780515086E-3</v>
      </c>
      <c r="M26" s="122"/>
      <c r="N26" s="122" t="s">
        <v>199</v>
      </c>
      <c r="O26" s="122" t="s">
        <v>188</v>
      </c>
      <c r="P26" s="122" t="s">
        <v>200</v>
      </c>
      <c r="Q26" s="122" t="s">
        <v>201</v>
      </c>
      <c r="R26" s="122" t="s">
        <v>202</v>
      </c>
      <c r="S26" s="122" t="s">
        <v>203</v>
      </c>
      <c r="T26" s="122" t="s">
        <v>204</v>
      </c>
      <c r="U26" s="122" t="s">
        <v>205</v>
      </c>
    </row>
    <row r="27" spans="2:21" x14ac:dyDescent="0.3">
      <c r="B27" s="120">
        <v>44389</v>
      </c>
      <c r="C27" s="119">
        <v>3349.1999510000001</v>
      </c>
      <c r="D27" s="95">
        <f t="shared" si="0"/>
        <v>-8.4083805589704186E-3</v>
      </c>
      <c r="F27" s="118">
        <v>15923.400390999999</v>
      </c>
      <c r="G27" s="95">
        <f t="shared" si="1"/>
        <v>1.488869130921322E-2</v>
      </c>
      <c r="M27" s="79" t="s">
        <v>193</v>
      </c>
      <c r="N27" s="79">
        <v>1.0669115618811139E-4</v>
      </c>
      <c r="O27" s="79">
        <v>4.1708464646725736E-3</v>
      </c>
      <c r="P27" s="79">
        <v>2.5580216651894194E-2</v>
      </c>
      <c r="Q27" s="79">
        <v>0.97964214464629351</v>
      </c>
      <c r="R27" s="79">
        <v>-8.166163030683694E-3</v>
      </c>
      <c r="S27" s="79">
        <v>8.3795453430599177E-3</v>
      </c>
      <c r="T27" s="79">
        <v>-8.166163030683694E-3</v>
      </c>
      <c r="U27" s="79">
        <v>8.3795453430599177E-3</v>
      </c>
    </row>
    <row r="28" spans="2:21" ht="15" thickBot="1" x14ac:dyDescent="0.35">
      <c r="B28" s="120">
        <v>44396</v>
      </c>
      <c r="C28" s="119">
        <v>3413.1999510000001</v>
      </c>
      <c r="D28" s="95">
        <f t="shared" si="0"/>
        <v>1.9109041244578684E-2</v>
      </c>
      <c r="F28" s="118">
        <v>15856.049805000001</v>
      </c>
      <c r="G28" s="95">
        <f t="shared" si="1"/>
        <v>-4.2296610237889665E-3</v>
      </c>
      <c r="M28" s="121" t="s">
        <v>260</v>
      </c>
      <c r="N28" s="121">
        <v>1.2421196304007405</v>
      </c>
      <c r="O28" s="121">
        <v>0.20684075390789466</v>
      </c>
      <c r="P28" s="121">
        <v>6.0051977520535011</v>
      </c>
      <c r="Q28" s="121">
        <v>2.9630301858896244E-8</v>
      </c>
      <c r="R28" s="121">
        <v>0.83185197574685965</v>
      </c>
      <c r="S28" s="121">
        <v>1.6523872850546213</v>
      </c>
      <c r="T28" s="121">
        <v>0.83185197574685965</v>
      </c>
      <c r="U28" s="121">
        <v>1.6523872850546213</v>
      </c>
    </row>
    <row r="29" spans="2:21" x14ac:dyDescent="0.3">
      <c r="B29" s="120">
        <v>44403</v>
      </c>
      <c r="C29" s="119">
        <v>3500.8000489999999</v>
      </c>
      <c r="D29" s="95">
        <f t="shared" si="0"/>
        <v>2.5665094122111043E-2</v>
      </c>
      <c r="F29" s="118">
        <v>15763.049805000001</v>
      </c>
      <c r="G29" s="95">
        <f t="shared" si="1"/>
        <v>-5.8652691650018518E-3</v>
      </c>
    </row>
    <row r="30" spans="2:21" x14ac:dyDescent="0.3">
      <c r="B30" s="120">
        <v>44410</v>
      </c>
      <c r="C30" s="119">
        <v>3529.1999510000001</v>
      </c>
      <c r="D30" s="95">
        <f t="shared" si="0"/>
        <v>8.1124033370922888E-3</v>
      </c>
      <c r="F30" s="118">
        <v>16238.200194999999</v>
      </c>
      <c r="G30" s="95">
        <f t="shared" si="1"/>
        <v>3.0143303223547635E-2</v>
      </c>
    </row>
    <row r="31" spans="2:21" x14ac:dyDescent="0.3">
      <c r="B31" s="120">
        <v>44417</v>
      </c>
      <c r="C31" s="119">
        <v>3594.5500489999999</v>
      </c>
      <c r="D31" s="95">
        <f t="shared" si="0"/>
        <v>1.8516972375419716E-2</v>
      </c>
      <c r="F31" s="118">
        <v>16529.099609000001</v>
      </c>
      <c r="G31" s="95">
        <f t="shared" si="1"/>
        <v>1.79145108760006E-2</v>
      </c>
    </row>
    <row r="32" spans="2:21" x14ac:dyDescent="0.3">
      <c r="B32" s="120">
        <v>44424</v>
      </c>
      <c r="C32" s="119">
        <v>3643.1000979999999</v>
      </c>
      <c r="D32" s="95">
        <f t="shared" si="0"/>
        <v>1.3506571987641713E-2</v>
      </c>
      <c r="F32" s="118">
        <v>16450.5</v>
      </c>
      <c r="G32" s="95">
        <f t="shared" si="1"/>
        <v>-4.7552262893499897E-3</v>
      </c>
    </row>
    <row r="33" spans="2:7" x14ac:dyDescent="0.3">
      <c r="B33" s="120">
        <v>44431</v>
      </c>
      <c r="C33" s="119">
        <v>3833.0500489999999</v>
      </c>
      <c r="D33" s="95">
        <f t="shared" si="0"/>
        <v>5.2139646424834485E-2</v>
      </c>
      <c r="F33" s="118">
        <v>16705.199218999998</v>
      </c>
      <c r="G33" s="95">
        <f t="shared" si="1"/>
        <v>1.5482764596820742E-2</v>
      </c>
    </row>
    <row r="34" spans="2:7" x14ac:dyDescent="0.3">
      <c r="B34" s="120">
        <v>44438</v>
      </c>
      <c r="C34" s="119">
        <v>3938.8999020000001</v>
      </c>
      <c r="D34" s="95">
        <f t="shared" si="0"/>
        <v>2.7615045889529899E-2</v>
      </c>
      <c r="F34" s="118">
        <v>17323.599609000001</v>
      </c>
      <c r="G34" s="95">
        <f t="shared" si="1"/>
        <v>3.7018438504860862E-2</v>
      </c>
    </row>
    <row r="35" spans="2:7" x14ac:dyDescent="0.3">
      <c r="B35" s="120">
        <v>44445</v>
      </c>
      <c r="C35" s="119">
        <v>3950.5</v>
      </c>
      <c r="D35" s="95">
        <f t="shared" si="0"/>
        <v>2.9450095936964793E-3</v>
      </c>
      <c r="F35" s="118">
        <v>17369.25</v>
      </c>
      <c r="G35" s="95">
        <f t="shared" si="1"/>
        <v>2.6351562048503308E-3</v>
      </c>
    </row>
    <row r="36" spans="2:7" x14ac:dyDescent="0.3">
      <c r="B36" s="120">
        <v>44452</v>
      </c>
      <c r="C36" s="119">
        <v>4239.6499020000001</v>
      </c>
      <c r="D36" s="95">
        <f t="shared" si="0"/>
        <v>7.3193241868118042E-2</v>
      </c>
      <c r="F36" s="118">
        <v>17585.150390999999</v>
      </c>
      <c r="G36" s="95">
        <f t="shared" si="1"/>
        <v>1.2430035321041366E-2</v>
      </c>
    </row>
    <row r="37" spans="2:7" x14ac:dyDescent="0.3">
      <c r="B37" s="120">
        <v>44459</v>
      </c>
      <c r="C37" s="119">
        <v>4422.3500979999999</v>
      </c>
      <c r="D37" s="95">
        <f t="shared" si="0"/>
        <v>4.3093227087881214E-2</v>
      </c>
      <c r="F37" s="118">
        <v>17853.199218999998</v>
      </c>
      <c r="G37" s="95">
        <f t="shared" si="1"/>
        <v>1.5242907910368864E-2</v>
      </c>
    </row>
    <row r="38" spans="2:7" x14ac:dyDescent="0.3">
      <c r="B38" s="120">
        <v>44466</v>
      </c>
      <c r="C38" s="119">
        <v>4235.6000979999999</v>
      </c>
      <c r="D38" s="95">
        <f t="shared" si="0"/>
        <v>-4.2228678386285412E-2</v>
      </c>
      <c r="F38" s="118">
        <v>17532.050781000002</v>
      </c>
      <c r="G38" s="95">
        <f t="shared" si="1"/>
        <v>-1.7988285128091697E-2</v>
      </c>
    </row>
    <row r="39" spans="2:7" x14ac:dyDescent="0.3">
      <c r="B39" s="120">
        <v>44473</v>
      </c>
      <c r="C39" s="119">
        <v>4407.9501950000003</v>
      </c>
      <c r="D39" s="95">
        <f t="shared" si="0"/>
        <v>4.0690833178840924E-2</v>
      </c>
      <c r="F39" s="118">
        <v>17895.199218999998</v>
      </c>
      <c r="G39" s="95">
        <f t="shared" si="1"/>
        <v>2.0713403271313213E-2</v>
      </c>
    </row>
    <row r="40" spans="2:7" x14ac:dyDescent="0.3">
      <c r="B40" s="120">
        <v>44480</v>
      </c>
      <c r="C40" s="119">
        <v>5323.75</v>
      </c>
      <c r="D40" s="95">
        <f t="shared" ref="D40:D71" si="2">C40/C39-1</f>
        <v>0.2077609238958289</v>
      </c>
      <c r="F40" s="118">
        <v>18338.550781000002</v>
      </c>
      <c r="G40" s="95">
        <f t="shared" ref="G40:G71" si="3">F40/F39-1</f>
        <v>2.4774888313580767E-2</v>
      </c>
    </row>
    <row r="41" spans="2:7" x14ac:dyDescent="0.3">
      <c r="B41" s="120">
        <v>44487</v>
      </c>
      <c r="C41" s="119">
        <v>4521.4501950000003</v>
      </c>
      <c r="D41" s="95">
        <f t="shared" si="2"/>
        <v>-0.1507020061047194</v>
      </c>
      <c r="F41" s="118">
        <v>18114.900390999999</v>
      </c>
      <c r="G41" s="95">
        <f t="shared" si="3"/>
        <v>-1.2195641447944716E-2</v>
      </c>
    </row>
    <row r="42" spans="2:7" x14ac:dyDescent="0.3">
      <c r="B42" s="120">
        <v>44494</v>
      </c>
      <c r="C42" s="119">
        <v>4635.4501950000003</v>
      </c>
      <c r="D42" s="95">
        <f t="shared" si="2"/>
        <v>2.5213149561188475E-2</v>
      </c>
      <c r="F42" s="118">
        <v>17671.650390999999</v>
      </c>
      <c r="G42" s="95">
        <f t="shared" si="3"/>
        <v>-2.4468806917658736E-2</v>
      </c>
    </row>
    <row r="43" spans="2:7" x14ac:dyDescent="0.3">
      <c r="B43" s="120">
        <v>44501</v>
      </c>
      <c r="C43" s="119">
        <v>4783.7001950000003</v>
      </c>
      <c r="D43" s="95">
        <f t="shared" si="2"/>
        <v>3.1981791145099248E-2</v>
      </c>
      <c r="F43" s="118">
        <v>17916.800781000002</v>
      </c>
      <c r="G43" s="95">
        <f t="shared" si="3"/>
        <v>1.3872523764099309E-2</v>
      </c>
    </row>
    <row r="44" spans="2:7" x14ac:dyDescent="0.3">
      <c r="B44" s="120">
        <v>44508</v>
      </c>
      <c r="C44" s="119">
        <v>5078.5498049999997</v>
      </c>
      <c r="D44" s="95">
        <f t="shared" si="2"/>
        <v>6.1636306202504265E-2</v>
      </c>
      <c r="F44" s="118">
        <v>18102.75</v>
      </c>
      <c r="G44" s="95">
        <f t="shared" si="3"/>
        <v>1.0378483372834646E-2</v>
      </c>
    </row>
    <row r="45" spans="2:7" x14ac:dyDescent="0.3">
      <c r="B45" s="120">
        <v>44515</v>
      </c>
      <c r="C45" s="119">
        <v>5080.8999020000001</v>
      </c>
      <c r="D45" s="95">
        <f t="shared" si="2"/>
        <v>4.6274962149372989E-4</v>
      </c>
      <c r="F45" s="118">
        <v>17764.800781000002</v>
      </c>
      <c r="G45" s="95">
        <f t="shared" si="3"/>
        <v>-1.8668391211279944E-2</v>
      </c>
    </row>
    <row r="46" spans="2:7" x14ac:dyDescent="0.3">
      <c r="B46" s="120">
        <v>44522</v>
      </c>
      <c r="C46" s="119">
        <v>4718.75</v>
      </c>
      <c r="D46" s="95">
        <f t="shared" si="2"/>
        <v>-7.1276724396291846E-2</v>
      </c>
      <c r="F46" s="118">
        <v>17026.449218999998</v>
      </c>
      <c r="G46" s="95">
        <f t="shared" si="3"/>
        <v>-4.1562614245001406E-2</v>
      </c>
    </row>
    <row r="47" spans="2:7" x14ac:dyDescent="0.3">
      <c r="B47" s="120">
        <v>44529</v>
      </c>
      <c r="C47" s="119">
        <v>4799.0498049999997</v>
      </c>
      <c r="D47" s="95">
        <f t="shared" si="2"/>
        <v>1.7017177218543011E-2</v>
      </c>
      <c r="F47" s="118">
        <v>17196.699218999998</v>
      </c>
      <c r="G47" s="95">
        <f t="shared" si="3"/>
        <v>9.9991488424970854E-3</v>
      </c>
    </row>
    <row r="48" spans="2:7" x14ac:dyDescent="0.3">
      <c r="B48" s="120">
        <v>44536</v>
      </c>
      <c r="C48" s="119">
        <v>4796.6000979999999</v>
      </c>
      <c r="D48" s="95">
        <f t="shared" si="2"/>
        <v>-5.1045667362059621E-4</v>
      </c>
      <c r="F48" s="118">
        <v>17511.300781000002</v>
      </c>
      <c r="G48" s="95">
        <f t="shared" si="3"/>
        <v>1.8294299271828462E-2</v>
      </c>
    </row>
    <row r="49" spans="2:7" x14ac:dyDescent="0.3">
      <c r="B49" s="120">
        <v>44543</v>
      </c>
      <c r="C49" s="119">
        <v>4697.7998049999997</v>
      </c>
      <c r="D49" s="95">
        <f t="shared" si="2"/>
        <v>-2.059798419326142E-2</v>
      </c>
      <c r="F49" s="118">
        <v>16985.199218999998</v>
      </c>
      <c r="G49" s="95">
        <f t="shared" si="3"/>
        <v>-3.0043545512668635E-2</v>
      </c>
    </row>
    <row r="50" spans="2:7" x14ac:dyDescent="0.3">
      <c r="B50" s="120">
        <v>44550</v>
      </c>
      <c r="C50" s="119">
        <v>4628.8999020000001</v>
      </c>
      <c r="D50" s="95">
        <f t="shared" si="2"/>
        <v>-1.4666419570852574E-2</v>
      </c>
      <c r="F50" s="118">
        <v>17003.75</v>
      </c>
      <c r="G50" s="95">
        <f t="shared" si="3"/>
        <v>1.0921732951623131E-3</v>
      </c>
    </row>
    <row r="51" spans="2:7" x14ac:dyDescent="0.3">
      <c r="B51" s="120">
        <v>44557</v>
      </c>
      <c r="C51" s="119">
        <v>4671.4501950000003</v>
      </c>
      <c r="D51" s="95">
        <f t="shared" si="2"/>
        <v>9.1923121909842642E-3</v>
      </c>
      <c r="F51" s="118">
        <v>17354.050781000002</v>
      </c>
      <c r="G51" s="95">
        <f t="shared" si="3"/>
        <v>2.0601383871204915E-2</v>
      </c>
    </row>
    <row r="52" spans="2:7" x14ac:dyDescent="0.3">
      <c r="B52" s="120">
        <v>44564</v>
      </c>
      <c r="C52" s="119">
        <v>4731.3500979999999</v>
      </c>
      <c r="D52" s="95">
        <f t="shared" si="2"/>
        <v>1.2822549850603604E-2</v>
      </c>
      <c r="F52" s="118">
        <v>17812.699218999998</v>
      </c>
      <c r="G52" s="95">
        <f t="shared" si="3"/>
        <v>2.6428898001275014E-2</v>
      </c>
    </row>
    <row r="53" spans="2:7" x14ac:dyDescent="0.3">
      <c r="B53" s="120">
        <v>44571</v>
      </c>
      <c r="C53" s="119">
        <v>4322.7001950000003</v>
      </c>
      <c r="D53" s="95">
        <f t="shared" si="2"/>
        <v>-8.6370675290492804E-2</v>
      </c>
      <c r="F53" s="118">
        <v>18255.75</v>
      </c>
      <c r="G53" s="95">
        <f t="shared" si="3"/>
        <v>2.4872748119354027E-2</v>
      </c>
    </row>
    <row r="54" spans="2:7" x14ac:dyDescent="0.3">
      <c r="B54" s="120">
        <v>44578</v>
      </c>
      <c r="C54" s="119">
        <v>4299.7998049999997</v>
      </c>
      <c r="D54" s="95">
        <f t="shared" si="2"/>
        <v>-5.2977048990094922E-3</v>
      </c>
      <c r="F54" s="118">
        <v>17617.150390999999</v>
      </c>
      <c r="G54" s="95">
        <f t="shared" si="3"/>
        <v>-3.4980738068827621E-2</v>
      </c>
    </row>
    <row r="55" spans="2:7" x14ac:dyDescent="0.3">
      <c r="B55" s="120">
        <v>44585</v>
      </c>
      <c r="C55" s="119">
        <v>4076</v>
      </c>
      <c r="D55" s="95">
        <f t="shared" si="2"/>
        <v>-5.2048889518008568E-2</v>
      </c>
      <c r="F55" s="118">
        <v>17101.949218999998</v>
      </c>
      <c r="G55" s="95">
        <f t="shared" si="3"/>
        <v>-2.9244296640800638E-2</v>
      </c>
    </row>
    <row r="56" spans="2:7" x14ac:dyDescent="0.3">
      <c r="B56" s="120">
        <v>44592</v>
      </c>
      <c r="C56" s="119">
        <v>4081.8999020000001</v>
      </c>
      <c r="D56" s="95">
        <f t="shared" si="2"/>
        <v>1.4474735034346597E-3</v>
      </c>
      <c r="F56" s="118">
        <v>17516.300781000002</v>
      </c>
      <c r="G56" s="95">
        <f t="shared" si="3"/>
        <v>2.4228323724623468E-2</v>
      </c>
    </row>
    <row r="57" spans="2:7" x14ac:dyDescent="0.3">
      <c r="B57" s="120">
        <v>44599</v>
      </c>
      <c r="C57" s="119">
        <v>4142.25</v>
      </c>
      <c r="D57" s="95">
        <f t="shared" si="2"/>
        <v>1.4784805960192715E-2</v>
      </c>
      <c r="F57" s="118">
        <v>17374.75</v>
      </c>
      <c r="G57" s="95">
        <f t="shared" si="3"/>
        <v>-8.0810887395552644E-3</v>
      </c>
    </row>
    <row r="58" spans="2:7" x14ac:dyDescent="0.3">
      <c r="B58" s="120">
        <v>44606</v>
      </c>
      <c r="C58" s="119">
        <v>4073.1000979999999</v>
      </c>
      <c r="D58" s="95">
        <f t="shared" si="2"/>
        <v>-1.6693802160661519E-2</v>
      </c>
      <c r="F58" s="118">
        <v>17276.300781000002</v>
      </c>
      <c r="G58" s="95">
        <f t="shared" si="3"/>
        <v>-5.66622362911684E-3</v>
      </c>
    </row>
    <row r="59" spans="2:7" x14ac:dyDescent="0.3">
      <c r="B59" s="120">
        <v>44613</v>
      </c>
      <c r="C59" s="119">
        <v>4190.75</v>
      </c>
      <c r="D59" s="95">
        <f t="shared" si="2"/>
        <v>2.8884608570697523E-2</v>
      </c>
      <c r="F59" s="118">
        <v>16658.400390999999</v>
      </c>
      <c r="G59" s="95">
        <f t="shared" si="3"/>
        <v>-3.5765780987070617E-2</v>
      </c>
    </row>
    <row r="60" spans="2:7" x14ac:dyDescent="0.3">
      <c r="B60" s="120">
        <v>44620</v>
      </c>
      <c r="C60" s="119">
        <v>4110.2001950000003</v>
      </c>
      <c r="D60" s="95">
        <f t="shared" si="2"/>
        <v>-1.9220856648571205E-2</v>
      </c>
      <c r="F60" s="118">
        <v>16245.349609000001</v>
      </c>
      <c r="G60" s="95">
        <f t="shared" si="3"/>
        <v>-2.479534482933643E-2</v>
      </c>
    </row>
    <row r="61" spans="2:7" x14ac:dyDescent="0.3">
      <c r="B61" s="120">
        <v>44627</v>
      </c>
      <c r="C61" s="119">
        <v>4198.9501950000003</v>
      </c>
      <c r="D61" s="95">
        <f t="shared" si="2"/>
        <v>2.1592622205595546E-2</v>
      </c>
      <c r="F61" s="118">
        <v>16630.449218999998</v>
      </c>
      <c r="G61" s="95">
        <f t="shared" si="3"/>
        <v>2.3705221449137115E-2</v>
      </c>
    </row>
    <row r="62" spans="2:7" x14ac:dyDescent="0.3">
      <c r="B62" s="120">
        <v>44634</v>
      </c>
      <c r="C62" s="119">
        <v>4192.75</v>
      </c>
      <c r="D62" s="95">
        <f t="shared" si="2"/>
        <v>-1.476605987702162E-3</v>
      </c>
      <c r="F62" s="118">
        <v>17287.050781000002</v>
      </c>
      <c r="G62" s="95">
        <f t="shared" si="3"/>
        <v>3.9481889716475482E-2</v>
      </c>
    </row>
    <row r="63" spans="2:7" x14ac:dyDescent="0.3">
      <c r="B63" s="120">
        <v>44641</v>
      </c>
      <c r="C63" s="119">
        <v>4001.3000489999999</v>
      </c>
      <c r="D63" s="95">
        <f t="shared" si="2"/>
        <v>-4.5662143223421436E-2</v>
      </c>
      <c r="F63" s="118">
        <v>17153</v>
      </c>
      <c r="G63" s="95">
        <f t="shared" si="3"/>
        <v>-7.7544043051771538E-3</v>
      </c>
    </row>
    <row r="64" spans="2:7" x14ac:dyDescent="0.3">
      <c r="B64" s="120">
        <v>44648</v>
      </c>
      <c r="C64" s="119">
        <v>4082.1999510000001</v>
      </c>
      <c r="D64" s="95">
        <f t="shared" si="2"/>
        <v>2.0218404270936574E-2</v>
      </c>
      <c r="F64" s="118">
        <v>17670.449218999998</v>
      </c>
      <c r="G64" s="95">
        <f t="shared" si="3"/>
        <v>3.0166689150585846E-2</v>
      </c>
    </row>
    <row r="65" spans="2:7" x14ac:dyDescent="0.3">
      <c r="B65" s="120">
        <v>44655</v>
      </c>
      <c r="C65" s="119">
        <v>4146.25</v>
      </c>
      <c r="D65" s="95">
        <f t="shared" si="2"/>
        <v>1.5690081272062617E-2</v>
      </c>
      <c r="F65" s="118">
        <v>17784.349609000001</v>
      </c>
      <c r="G65" s="95">
        <f t="shared" si="3"/>
        <v>6.4458117950692007E-3</v>
      </c>
    </row>
    <row r="66" spans="2:7" x14ac:dyDescent="0.3">
      <c r="B66" s="120">
        <v>44662</v>
      </c>
      <c r="C66" s="119">
        <v>4090.8999020000001</v>
      </c>
      <c r="D66" s="95">
        <f t="shared" si="2"/>
        <v>-1.3349435755200423E-2</v>
      </c>
      <c r="F66" s="118">
        <v>17475.650390999999</v>
      </c>
      <c r="G66" s="95">
        <f t="shared" si="3"/>
        <v>-1.7357914390289553E-2</v>
      </c>
    </row>
    <row r="67" spans="2:7" x14ac:dyDescent="0.3">
      <c r="B67" s="120">
        <v>44669</v>
      </c>
      <c r="C67" s="119">
        <v>4028.8500979999999</v>
      </c>
      <c r="D67" s="95">
        <f t="shared" si="2"/>
        <v>-1.5167763936161038E-2</v>
      </c>
      <c r="F67" s="118">
        <v>17171.949218999998</v>
      </c>
      <c r="G67" s="95">
        <f t="shared" si="3"/>
        <v>-1.7378533285170805E-2</v>
      </c>
    </row>
    <row r="68" spans="2:7" x14ac:dyDescent="0.3">
      <c r="B68" s="120">
        <v>44676</v>
      </c>
      <c r="C68" s="119">
        <v>3944.25</v>
      </c>
      <c r="D68" s="95">
        <f t="shared" si="2"/>
        <v>-2.0998571786524645E-2</v>
      </c>
      <c r="F68" s="118">
        <v>17102.550781000002</v>
      </c>
      <c r="G68" s="95">
        <f t="shared" si="3"/>
        <v>-4.041383835634127E-3</v>
      </c>
    </row>
    <row r="69" spans="2:7" x14ac:dyDescent="0.3">
      <c r="B69" s="120">
        <v>44683</v>
      </c>
      <c r="C69" s="119">
        <v>3666.1999510000001</v>
      </c>
      <c r="D69" s="95">
        <f t="shared" si="2"/>
        <v>-7.0495036825758972E-2</v>
      </c>
      <c r="F69" s="118">
        <v>16411.25</v>
      </c>
      <c r="G69" s="95">
        <f t="shared" si="3"/>
        <v>-4.0420916730619982E-2</v>
      </c>
    </row>
    <row r="70" spans="2:7" x14ac:dyDescent="0.3">
      <c r="B70" s="120">
        <v>44690</v>
      </c>
      <c r="C70" s="119">
        <v>3230.6000979999999</v>
      </c>
      <c r="D70" s="95">
        <f t="shared" si="2"/>
        <v>-0.11881508341660008</v>
      </c>
      <c r="F70" s="118">
        <v>15782.150390999999</v>
      </c>
      <c r="G70" s="95">
        <f t="shared" si="3"/>
        <v>-3.8333436453652281E-2</v>
      </c>
    </row>
    <row r="71" spans="2:7" x14ac:dyDescent="0.3">
      <c r="B71" s="120">
        <v>44697</v>
      </c>
      <c r="C71" s="119">
        <v>3630.3999020000001</v>
      </c>
      <c r="D71" s="95">
        <f t="shared" si="2"/>
        <v>0.12375403698139809</v>
      </c>
      <c r="F71" s="118">
        <v>16266.150390999999</v>
      </c>
      <c r="G71" s="95">
        <f t="shared" si="3"/>
        <v>3.0667557209187901E-2</v>
      </c>
    </row>
    <row r="72" spans="2:7" x14ac:dyDescent="0.3">
      <c r="B72" s="120">
        <v>44704</v>
      </c>
      <c r="C72" s="119">
        <v>3613.8500979999999</v>
      </c>
      <c r="D72" s="95">
        <f t="shared" ref="D72:D103" si="4">C72/C71-1</f>
        <v>-4.5586724456672112E-3</v>
      </c>
      <c r="F72" s="118">
        <v>16352.450194999999</v>
      </c>
      <c r="G72" s="95">
        <f t="shared" ref="G72:G103" si="5">F72/F71-1</f>
        <v>5.3054842064996777E-3</v>
      </c>
    </row>
    <row r="73" spans="2:7" x14ac:dyDescent="0.3">
      <c r="B73" s="120">
        <v>44711</v>
      </c>
      <c r="C73" s="119">
        <v>3820.1000979999999</v>
      </c>
      <c r="D73" s="95">
        <f t="shared" si="4"/>
        <v>5.7072096076742129E-2</v>
      </c>
      <c r="F73" s="118">
        <v>16584.300781000002</v>
      </c>
      <c r="G73" s="95">
        <f t="shared" si="5"/>
        <v>1.4178339223494207E-2</v>
      </c>
    </row>
    <row r="74" spans="2:7" x14ac:dyDescent="0.3">
      <c r="B74" s="120">
        <v>44718</v>
      </c>
      <c r="C74" s="119">
        <v>3755.6499020000001</v>
      </c>
      <c r="D74" s="95">
        <f t="shared" si="4"/>
        <v>-1.6871336966730932E-2</v>
      </c>
      <c r="F74" s="118">
        <v>16201.799805000001</v>
      </c>
      <c r="G74" s="95">
        <f t="shared" si="5"/>
        <v>-2.3064039964724836E-2</v>
      </c>
    </row>
    <row r="75" spans="2:7" x14ac:dyDescent="0.3">
      <c r="B75" s="120">
        <v>44725</v>
      </c>
      <c r="C75" s="119">
        <v>3460.5500489999999</v>
      </c>
      <c r="D75" s="95">
        <f t="shared" si="4"/>
        <v>-7.857490998904082E-2</v>
      </c>
      <c r="F75" s="118">
        <v>15293.5</v>
      </c>
      <c r="G75" s="95">
        <f t="shared" si="5"/>
        <v>-5.606166079892505E-2</v>
      </c>
    </row>
    <row r="76" spans="2:7" x14ac:dyDescent="0.3">
      <c r="B76" s="120">
        <v>44732</v>
      </c>
      <c r="C76" s="119">
        <v>3412</v>
      </c>
      <c r="D76" s="95">
        <f t="shared" si="4"/>
        <v>-1.4029575735808097E-2</v>
      </c>
      <c r="F76" s="118">
        <v>15699.25</v>
      </c>
      <c r="G76" s="95">
        <f t="shared" si="5"/>
        <v>2.6530879131657192E-2</v>
      </c>
    </row>
    <row r="77" spans="2:7" x14ac:dyDescent="0.3">
      <c r="B77" s="120">
        <v>44739</v>
      </c>
      <c r="C77" s="119">
        <v>3388.75</v>
      </c>
      <c r="D77" s="95">
        <f t="shared" si="4"/>
        <v>-6.8141852286048854E-3</v>
      </c>
      <c r="F77" s="118">
        <v>15752.049805000001</v>
      </c>
      <c r="G77" s="95">
        <f t="shared" si="5"/>
        <v>3.3632055671448668E-3</v>
      </c>
    </row>
    <row r="78" spans="2:7" x14ac:dyDescent="0.3">
      <c r="B78" s="120">
        <v>44746</v>
      </c>
      <c r="C78" s="119">
        <v>3941.6999510000001</v>
      </c>
      <c r="D78" s="95">
        <f t="shared" si="4"/>
        <v>0.16317224669863517</v>
      </c>
      <c r="F78" s="118">
        <v>16220.599609000001</v>
      </c>
      <c r="G78" s="95">
        <f t="shared" si="5"/>
        <v>2.9745322659611828E-2</v>
      </c>
    </row>
    <row r="79" spans="2:7" x14ac:dyDescent="0.3">
      <c r="B79" s="120">
        <v>44753</v>
      </c>
      <c r="C79" s="119">
        <v>3926.8000489999999</v>
      </c>
      <c r="D79" s="95">
        <f t="shared" si="4"/>
        <v>-3.7800700675403309E-3</v>
      </c>
      <c r="F79" s="118">
        <v>16049.200194999999</v>
      </c>
      <c r="G79" s="95">
        <f t="shared" si="5"/>
        <v>-1.0566774233481513E-2</v>
      </c>
    </row>
    <row r="80" spans="2:7" x14ac:dyDescent="0.3">
      <c r="B80" s="120">
        <v>44760</v>
      </c>
      <c r="C80" s="119">
        <v>3963.3999020000001</v>
      </c>
      <c r="D80" s="95">
        <f t="shared" si="4"/>
        <v>9.3205288131033015E-3</v>
      </c>
      <c r="F80" s="118">
        <v>16719.449218999998</v>
      </c>
      <c r="G80" s="95">
        <f t="shared" si="5"/>
        <v>4.1762144895470144E-2</v>
      </c>
    </row>
    <row r="81" spans="2:7" x14ac:dyDescent="0.3">
      <c r="B81" s="120">
        <v>44767</v>
      </c>
      <c r="C81" s="119">
        <v>4243.8500979999999</v>
      </c>
      <c r="D81" s="95">
        <f t="shared" si="4"/>
        <v>7.0760004777332686E-2</v>
      </c>
      <c r="F81" s="118">
        <v>17158.25</v>
      </c>
      <c r="G81" s="95">
        <f t="shared" si="5"/>
        <v>2.6244930395275645E-2</v>
      </c>
    </row>
    <row r="82" spans="2:7" x14ac:dyDescent="0.3">
      <c r="B82" s="120">
        <v>44774</v>
      </c>
      <c r="C82" s="119">
        <v>4232.25</v>
      </c>
      <c r="D82" s="95">
        <f t="shared" si="4"/>
        <v>-2.7333901368162827E-3</v>
      </c>
      <c r="F82" s="118">
        <v>17397.5</v>
      </c>
      <c r="G82" s="95">
        <f t="shared" si="5"/>
        <v>1.3943729692713402E-2</v>
      </c>
    </row>
    <row r="83" spans="2:7" x14ac:dyDescent="0.3">
      <c r="B83" s="120">
        <v>44781</v>
      </c>
      <c r="C83" s="119">
        <v>4336.7001950000003</v>
      </c>
      <c r="D83" s="95">
        <f t="shared" si="4"/>
        <v>2.4679590052572697E-2</v>
      </c>
      <c r="F83" s="118">
        <v>17698.150390999999</v>
      </c>
      <c r="G83" s="95">
        <f t="shared" si="5"/>
        <v>1.7281241040379314E-2</v>
      </c>
    </row>
    <row r="84" spans="2:7" x14ac:dyDescent="0.3">
      <c r="B84" s="120">
        <v>44788</v>
      </c>
      <c r="C84" s="119">
        <v>4382</v>
      </c>
      <c r="D84" s="95">
        <f t="shared" si="4"/>
        <v>1.0445685189911957E-2</v>
      </c>
      <c r="F84" s="118">
        <v>17758.449218999998</v>
      </c>
      <c r="G84" s="95">
        <f t="shared" si="5"/>
        <v>3.4070694771959342E-3</v>
      </c>
    </row>
    <row r="85" spans="2:7" x14ac:dyDescent="0.3">
      <c r="B85" s="120">
        <v>44795</v>
      </c>
      <c r="C85" s="119">
        <v>4409.6499020000001</v>
      </c>
      <c r="D85" s="95">
        <f t="shared" si="4"/>
        <v>6.3098817891373837E-3</v>
      </c>
      <c r="F85" s="118">
        <v>17558.900390999999</v>
      </c>
      <c r="G85" s="95">
        <f t="shared" si="5"/>
        <v>-1.1236838619134604E-2</v>
      </c>
    </row>
    <row r="86" spans="2:7" x14ac:dyDescent="0.3">
      <c r="B86" s="120">
        <v>44802</v>
      </c>
      <c r="C86" s="119">
        <v>4576.7998049999997</v>
      </c>
      <c r="D86" s="95">
        <f t="shared" si="4"/>
        <v>3.7905481549496356E-2</v>
      </c>
      <c r="F86" s="118">
        <v>17539.449218999998</v>
      </c>
      <c r="G86" s="95">
        <f t="shared" si="5"/>
        <v>-1.1077670905844661E-3</v>
      </c>
    </row>
    <row r="87" spans="2:7" x14ac:dyDescent="0.3">
      <c r="B87" s="120">
        <v>44809</v>
      </c>
      <c r="C87" s="119">
        <v>4386.1000979999999</v>
      </c>
      <c r="D87" s="95">
        <f t="shared" si="4"/>
        <v>-4.1666604423393538E-2</v>
      </c>
      <c r="F87" s="118">
        <v>17833.349609000001</v>
      </c>
      <c r="G87" s="95">
        <f t="shared" si="5"/>
        <v>1.6756534730955508E-2</v>
      </c>
    </row>
    <row r="88" spans="2:7" x14ac:dyDescent="0.3">
      <c r="B88" s="120">
        <v>44816</v>
      </c>
      <c r="C88" s="119">
        <v>4327.5498049999997</v>
      </c>
      <c r="D88" s="95">
        <f t="shared" si="4"/>
        <v>-1.334905535482378E-2</v>
      </c>
      <c r="F88" s="118">
        <v>17530.849609000001</v>
      </c>
      <c r="G88" s="95">
        <f t="shared" si="5"/>
        <v>-1.6962601341440453E-2</v>
      </c>
    </row>
    <row r="89" spans="2:7" x14ac:dyDescent="0.3">
      <c r="B89" s="120">
        <v>44823</v>
      </c>
      <c r="C89" s="119">
        <v>4367</v>
      </c>
      <c r="D89" s="95">
        <f t="shared" si="4"/>
        <v>9.1160579953164511E-3</v>
      </c>
      <c r="F89" s="118">
        <v>17327.349609000001</v>
      </c>
      <c r="G89" s="95">
        <f t="shared" si="5"/>
        <v>-1.1608108251383698E-2</v>
      </c>
    </row>
    <row r="90" spans="2:7" x14ac:dyDescent="0.3">
      <c r="B90" s="120">
        <v>44830</v>
      </c>
      <c r="C90" s="119">
        <v>4386.5498049999997</v>
      </c>
      <c r="D90" s="95">
        <f t="shared" si="4"/>
        <v>4.4767128463474304E-3</v>
      </c>
      <c r="F90" s="118">
        <v>17094.349609000001</v>
      </c>
      <c r="G90" s="95">
        <f t="shared" si="5"/>
        <v>-1.3446949779265527E-2</v>
      </c>
    </row>
    <row r="91" spans="2:7" x14ac:dyDescent="0.3">
      <c r="B91" s="120">
        <v>44837</v>
      </c>
      <c r="C91" s="119">
        <v>4471.4501950000003</v>
      </c>
      <c r="D91" s="95">
        <f t="shared" si="4"/>
        <v>1.9354707862481613E-2</v>
      </c>
      <c r="F91" s="118">
        <v>17314.650390999999</v>
      </c>
      <c r="G91" s="95">
        <f t="shared" si="5"/>
        <v>1.2887345060733635E-2</v>
      </c>
    </row>
    <row r="92" spans="2:7" x14ac:dyDescent="0.3">
      <c r="B92" s="120">
        <v>44844</v>
      </c>
      <c r="C92" s="119">
        <v>4306.1499020000001</v>
      </c>
      <c r="D92" s="95">
        <f t="shared" si="4"/>
        <v>-3.6967937870545864E-2</v>
      </c>
      <c r="F92" s="118">
        <v>17185.699218999998</v>
      </c>
      <c r="G92" s="95">
        <f t="shared" si="5"/>
        <v>-7.4475180894804094E-3</v>
      </c>
    </row>
    <row r="93" spans="2:7" x14ac:dyDescent="0.3">
      <c r="B93" s="120">
        <v>44851</v>
      </c>
      <c r="C93" s="119">
        <v>4215.5498049999997</v>
      </c>
      <c r="D93" s="95">
        <f t="shared" si="4"/>
        <v>-2.1039698817247654E-2</v>
      </c>
      <c r="F93" s="118">
        <v>17576.300781000002</v>
      </c>
      <c r="G93" s="95">
        <f t="shared" si="5"/>
        <v>2.2728290366455628E-2</v>
      </c>
    </row>
    <row r="94" spans="2:7" x14ac:dyDescent="0.3">
      <c r="B94" s="120">
        <v>44858</v>
      </c>
      <c r="C94" s="119">
        <v>4307.3500979999999</v>
      </c>
      <c r="D94" s="95">
        <f t="shared" si="4"/>
        <v>2.1776588403988884E-2</v>
      </c>
      <c r="F94" s="118">
        <v>17786.800781000002</v>
      </c>
      <c r="G94" s="95">
        <f t="shared" si="5"/>
        <v>1.197635399068453E-2</v>
      </c>
    </row>
    <row r="95" spans="2:7" x14ac:dyDescent="0.3">
      <c r="B95" s="120">
        <v>44865</v>
      </c>
      <c r="C95" s="119">
        <v>4167.3500979999999</v>
      </c>
      <c r="D95" s="95">
        <f t="shared" si="4"/>
        <v>-3.2502582055033091E-2</v>
      </c>
      <c r="F95" s="118">
        <v>18117.150390999999</v>
      </c>
      <c r="G95" s="95">
        <f t="shared" si="5"/>
        <v>1.8572739081492262E-2</v>
      </c>
    </row>
    <row r="96" spans="2:7" x14ac:dyDescent="0.3">
      <c r="B96" s="120">
        <v>44872</v>
      </c>
      <c r="C96" s="119">
        <v>4128.3500979999999</v>
      </c>
      <c r="D96" s="95">
        <f t="shared" si="4"/>
        <v>-9.3584649916302887E-3</v>
      </c>
      <c r="F96" s="118">
        <v>18349.699218999998</v>
      </c>
      <c r="G96" s="95">
        <f t="shared" si="5"/>
        <v>1.2835839134808014E-2</v>
      </c>
    </row>
    <row r="97" spans="2:7" x14ac:dyDescent="0.3">
      <c r="B97" s="120">
        <v>44879</v>
      </c>
      <c r="C97" s="119">
        <v>3910.6000979999999</v>
      </c>
      <c r="D97" s="95">
        <f t="shared" si="4"/>
        <v>-5.2745042167206213E-2</v>
      </c>
      <c r="F97" s="118">
        <v>18307.650390999999</v>
      </c>
      <c r="G97" s="95">
        <f t="shared" si="5"/>
        <v>-2.2915268254892762E-3</v>
      </c>
    </row>
    <row r="98" spans="2:7" x14ac:dyDescent="0.3">
      <c r="B98" s="120">
        <v>44886</v>
      </c>
      <c r="C98" s="119">
        <v>3904.4499510000001</v>
      </c>
      <c r="D98" s="95">
        <f t="shared" si="4"/>
        <v>-1.5726862491373117E-3</v>
      </c>
      <c r="F98" s="118">
        <v>18512.75</v>
      </c>
      <c r="G98" s="95">
        <f t="shared" si="5"/>
        <v>1.1202945469224623E-2</v>
      </c>
    </row>
    <row r="99" spans="2:7" x14ac:dyDescent="0.3">
      <c r="B99" s="120">
        <v>44893</v>
      </c>
      <c r="C99" s="119">
        <v>4005.75</v>
      </c>
      <c r="D99" s="95">
        <f t="shared" si="4"/>
        <v>2.5944768218646219E-2</v>
      </c>
      <c r="F99" s="118">
        <v>18696.099609000001</v>
      </c>
      <c r="G99" s="95">
        <f t="shared" si="5"/>
        <v>9.9039639707769744E-3</v>
      </c>
    </row>
    <row r="100" spans="2:7" x14ac:dyDescent="0.3">
      <c r="B100" s="120">
        <v>44900</v>
      </c>
      <c r="C100" s="119">
        <v>4002.3999020000001</v>
      </c>
      <c r="D100" s="95">
        <f t="shared" si="4"/>
        <v>-8.3632228671282061E-4</v>
      </c>
      <c r="F100" s="118">
        <v>18496.599609000001</v>
      </c>
      <c r="G100" s="95">
        <f t="shared" si="5"/>
        <v>-1.0670674855838058E-2</v>
      </c>
    </row>
    <row r="101" spans="2:7" x14ac:dyDescent="0.3">
      <c r="B101" s="120">
        <v>44907</v>
      </c>
      <c r="C101" s="119">
        <v>3990</v>
      </c>
      <c r="D101" s="95">
        <f t="shared" si="4"/>
        <v>-3.0981167058803383E-3</v>
      </c>
      <c r="F101" s="118">
        <v>18269</v>
      </c>
      <c r="G101" s="95">
        <f t="shared" si="5"/>
        <v>-1.2304943276668867E-2</v>
      </c>
    </row>
    <row r="102" spans="2:7" x14ac:dyDescent="0.3">
      <c r="B102" s="120">
        <v>44914</v>
      </c>
      <c r="C102" s="119">
        <v>3875.6000979999999</v>
      </c>
      <c r="D102" s="95">
        <f t="shared" si="4"/>
        <v>-2.8671654636591493E-2</v>
      </c>
      <c r="F102" s="118">
        <v>17806.800781000002</v>
      </c>
      <c r="G102" s="95">
        <f t="shared" si="5"/>
        <v>-2.529964524604511E-2</v>
      </c>
    </row>
    <row r="103" spans="2:7" x14ac:dyDescent="0.3">
      <c r="B103" s="120">
        <v>44921</v>
      </c>
      <c r="C103" s="119">
        <v>4068.75</v>
      </c>
      <c r="D103" s="95">
        <f t="shared" si="4"/>
        <v>4.9837417978102261E-2</v>
      </c>
      <c r="F103" s="118">
        <v>18105.300781000002</v>
      </c>
      <c r="G103" s="95">
        <f t="shared" si="5"/>
        <v>1.6763258244484991E-2</v>
      </c>
    </row>
    <row r="104" spans="2:7" x14ac:dyDescent="0.3">
      <c r="B104" s="120">
        <v>44928</v>
      </c>
      <c r="C104" s="119">
        <v>3842.5</v>
      </c>
      <c r="D104" s="95">
        <f t="shared" ref="D104:D111" si="6">C104/C103-1</f>
        <v>-5.5606758832565273E-2</v>
      </c>
      <c r="F104" s="118">
        <v>17859.449218999998</v>
      </c>
      <c r="G104" s="95">
        <f t="shared" ref="G104:G111" si="7">F104/F103-1</f>
        <v>-1.3578982474458767E-2</v>
      </c>
    </row>
    <row r="105" spans="2:7" x14ac:dyDescent="0.3">
      <c r="B105" s="120">
        <v>44935</v>
      </c>
      <c r="C105" s="119">
        <v>3863.6999510000001</v>
      </c>
      <c r="D105" s="95">
        <f t="shared" si="6"/>
        <v>5.517228627195836E-3</v>
      </c>
      <c r="F105" s="118">
        <v>17956.599609000001</v>
      </c>
      <c r="G105" s="95">
        <f t="shared" si="7"/>
        <v>5.4397192661825855E-3</v>
      </c>
    </row>
    <row r="106" spans="2:7" x14ac:dyDescent="0.3">
      <c r="B106" s="120">
        <v>44942</v>
      </c>
      <c r="C106" s="119">
        <v>3513.75</v>
      </c>
      <c r="D106" s="95">
        <f t="shared" si="6"/>
        <v>-9.0573790780370089E-2</v>
      </c>
      <c r="F106" s="118">
        <v>18027.650390999999</v>
      </c>
      <c r="G106" s="95">
        <f t="shared" si="7"/>
        <v>3.9568060516528281E-3</v>
      </c>
    </row>
    <row r="107" spans="2:7" x14ac:dyDescent="0.3">
      <c r="B107" s="120">
        <v>44949</v>
      </c>
      <c r="C107" s="119">
        <v>3562.3500979999999</v>
      </c>
      <c r="D107" s="95">
        <f t="shared" si="6"/>
        <v>1.3831404624688792E-2</v>
      </c>
      <c r="F107" s="118">
        <v>17604.349609000001</v>
      </c>
      <c r="G107" s="95">
        <f t="shared" si="7"/>
        <v>-2.3480640727941093E-2</v>
      </c>
    </row>
    <row r="108" spans="2:7" x14ac:dyDescent="0.3">
      <c r="B108" s="120">
        <v>44956</v>
      </c>
      <c r="C108" s="119">
        <v>3470.3500979999999</v>
      </c>
      <c r="D108" s="95">
        <f t="shared" si="6"/>
        <v>-2.5825648088785957E-2</v>
      </c>
      <c r="F108" s="118">
        <v>17854.050781000002</v>
      </c>
      <c r="G108" s="95">
        <f t="shared" si="7"/>
        <v>1.4184061186352848E-2</v>
      </c>
    </row>
    <row r="109" spans="2:7" x14ac:dyDescent="0.3">
      <c r="B109" s="120">
        <v>44963</v>
      </c>
      <c r="C109" s="119">
        <v>3498.8500979999999</v>
      </c>
      <c r="D109" s="95">
        <f t="shared" si="6"/>
        <v>8.2124279093411801E-3</v>
      </c>
      <c r="F109" s="118">
        <v>17856.5</v>
      </c>
      <c r="G109" s="95">
        <f t="shared" si="7"/>
        <v>1.371800175793414E-4</v>
      </c>
    </row>
    <row r="110" spans="2:7" x14ac:dyDescent="0.3">
      <c r="B110" s="120">
        <v>44970</v>
      </c>
      <c r="C110" s="119">
        <v>3545</v>
      </c>
      <c r="D110" s="95">
        <f t="shared" si="6"/>
        <v>1.3190019780035867E-2</v>
      </c>
      <c r="F110" s="118">
        <v>17944.199218999998</v>
      </c>
      <c r="G110" s="95">
        <f t="shared" si="7"/>
        <v>4.9113330719905424E-3</v>
      </c>
    </row>
    <row r="111" spans="2:7" x14ac:dyDescent="0.3">
      <c r="B111" s="120">
        <v>44977</v>
      </c>
      <c r="C111" s="119">
        <v>3552.8500979999999</v>
      </c>
      <c r="D111" s="95">
        <f t="shared" si="6"/>
        <v>2.2144141043722865E-3</v>
      </c>
      <c r="F111" s="118">
        <v>17844.599609000001</v>
      </c>
      <c r="G111" s="95">
        <f t="shared" si="7"/>
        <v>-5.550518514893521E-3</v>
      </c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94A5-DE60-4102-ACEC-0BABB57AA450}">
  <sheetPr>
    <tabColor theme="1" tint="0.14999847407452621"/>
  </sheetPr>
  <dimension ref="B2:L40"/>
  <sheetViews>
    <sheetView showGridLines="0" zoomScale="123" zoomScaleNormal="100"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H35" sqref="H35"/>
    </sheetView>
  </sheetViews>
  <sheetFormatPr defaultRowHeight="14.4" x14ac:dyDescent="0.3"/>
  <cols>
    <col min="1" max="1" width="3.77734375" customWidth="1"/>
    <col min="2" max="2" width="24.109375" bestFit="1" customWidth="1"/>
  </cols>
  <sheetData>
    <row r="2" spans="2:12" x14ac:dyDescent="0.3">
      <c r="B2" s="130" t="s">
        <v>210</v>
      </c>
      <c r="C2" s="131">
        <v>42795</v>
      </c>
      <c r="D2" s="131">
        <v>43160</v>
      </c>
      <c r="E2" s="131">
        <v>43525</v>
      </c>
      <c r="F2" s="131">
        <v>43891</v>
      </c>
      <c r="G2" s="131">
        <v>44256</v>
      </c>
      <c r="H2" s="131">
        <v>44621</v>
      </c>
      <c r="I2" s="131">
        <v>44986</v>
      </c>
      <c r="J2" s="131">
        <v>45352</v>
      </c>
      <c r="K2" s="131">
        <v>45717</v>
      </c>
      <c r="L2" s="131">
        <v>46082</v>
      </c>
    </row>
    <row r="3" spans="2:12" x14ac:dyDescent="0.3">
      <c r="B3" s="132"/>
      <c r="C3" s="133"/>
      <c r="D3" s="133"/>
      <c r="E3" s="133"/>
      <c r="F3" s="133"/>
      <c r="G3" s="133"/>
      <c r="H3" s="133"/>
      <c r="I3" s="133"/>
      <c r="J3" s="133"/>
      <c r="K3" s="133"/>
      <c r="L3" s="133"/>
    </row>
    <row r="4" spans="2:12" x14ac:dyDescent="0.3">
      <c r="B4" t="s">
        <v>276</v>
      </c>
      <c r="C4" s="137">
        <v>240</v>
      </c>
      <c r="D4" s="137">
        <v>240</v>
      </c>
      <c r="E4" s="137">
        <v>240</v>
      </c>
      <c r="F4" s="137">
        <v>240</v>
      </c>
      <c r="G4" s="137">
        <v>240</v>
      </c>
      <c r="H4" s="137">
        <v>240</v>
      </c>
      <c r="I4" s="137">
        <v>240</v>
      </c>
      <c r="J4" s="137">
        <v>240</v>
      </c>
      <c r="K4" s="137">
        <v>240</v>
      </c>
      <c r="L4" s="137">
        <v>240</v>
      </c>
    </row>
    <row r="5" spans="2:12" x14ac:dyDescent="0.3">
      <c r="B5" t="s">
        <v>25</v>
      </c>
      <c r="C5" s="137">
        <v>36400</v>
      </c>
      <c r="D5" s="137">
        <v>38074</v>
      </c>
      <c r="E5" s="137">
        <v>41169</v>
      </c>
      <c r="F5" s="137">
        <v>45025</v>
      </c>
      <c r="G5" s="137">
        <v>46223</v>
      </c>
      <c r="H5" s="137">
        <v>47771</v>
      </c>
      <c r="I5" s="137">
        <v>55755</v>
      </c>
      <c r="J5" s="137">
        <v>63427</v>
      </c>
      <c r="K5" s="137">
        <v>71978</v>
      </c>
      <c r="L5" s="137">
        <v>83330</v>
      </c>
    </row>
    <row r="6" spans="2:12" x14ac:dyDescent="0.3">
      <c r="B6" s="2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</row>
    <row r="7" spans="2:12" x14ac:dyDescent="0.3">
      <c r="B7" t="s">
        <v>278</v>
      </c>
      <c r="C7" s="137">
        <v>1436</v>
      </c>
      <c r="D7" s="137">
        <v>1772</v>
      </c>
      <c r="E7" s="137">
        <v>1523</v>
      </c>
      <c r="F7" s="137">
        <v>2029</v>
      </c>
      <c r="G7" s="137">
        <v>655</v>
      </c>
      <c r="H7" s="137">
        <v>230</v>
      </c>
      <c r="I7" s="137">
        <v>0</v>
      </c>
      <c r="J7" s="137">
        <v>1</v>
      </c>
      <c r="K7" s="137">
        <v>3</v>
      </c>
      <c r="L7" s="137">
        <v>31</v>
      </c>
    </row>
    <row r="8" spans="2:12" x14ac:dyDescent="0.3">
      <c r="B8" t="s">
        <v>279</v>
      </c>
      <c r="C8" s="137">
        <v>6655</v>
      </c>
      <c r="D8" s="137">
        <v>7980</v>
      </c>
      <c r="E8" s="137">
        <v>8371</v>
      </c>
      <c r="F8" s="137">
        <v>5549</v>
      </c>
      <c r="G8" s="137">
        <v>2869</v>
      </c>
      <c r="H8" s="137">
        <v>701</v>
      </c>
      <c r="I8" s="137">
        <v>6198</v>
      </c>
      <c r="J8" s="137">
        <v>2844</v>
      </c>
      <c r="K8" s="137">
        <v>1867</v>
      </c>
      <c r="L8" s="137">
        <v>4050</v>
      </c>
    </row>
    <row r="9" spans="2:12" x14ac:dyDescent="0.3">
      <c r="B9" t="s">
        <v>280</v>
      </c>
      <c r="C9" s="137">
        <v>0</v>
      </c>
      <c r="D9" s="137">
        <v>0</v>
      </c>
      <c r="E9" s="137">
        <v>0</v>
      </c>
      <c r="F9" s="137">
        <v>0</v>
      </c>
      <c r="G9" s="137">
        <v>345</v>
      </c>
      <c r="H9" s="137">
        <v>360</v>
      </c>
      <c r="I9" s="137">
        <v>688</v>
      </c>
      <c r="J9" s="137">
        <v>428</v>
      </c>
      <c r="K9" s="137">
        <v>493</v>
      </c>
      <c r="L9" s="137">
        <v>546</v>
      </c>
    </row>
    <row r="10" spans="2:12" x14ac:dyDescent="0.3">
      <c r="B10" t="s">
        <v>281</v>
      </c>
      <c r="C10" s="137">
        <v>1741</v>
      </c>
      <c r="D10" s="137">
        <v>633</v>
      </c>
      <c r="E10" s="137">
        <v>621</v>
      </c>
      <c r="F10" s="137">
        <v>737</v>
      </c>
      <c r="G10" s="137">
        <v>0</v>
      </c>
      <c r="H10" s="137">
        <v>0</v>
      </c>
      <c r="I10" s="137">
        <v>0</v>
      </c>
      <c r="J10" s="137">
        <v>0</v>
      </c>
      <c r="K10" s="137">
        <v>0</v>
      </c>
      <c r="L10" s="137">
        <v>0</v>
      </c>
    </row>
    <row r="11" spans="2:12" x14ac:dyDescent="0.3">
      <c r="B11" s="2" t="s">
        <v>282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</row>
    <row r="12" spans="2:12" x14ac:dyDescent="0.3">
      <c r="B12" t="s">
        <v>283</v>
      </c>
      <c r="C12" s="137">
        <v>3791</v>
      </c>
      <c r="D12" s="137">
        <v>3884</v>
      </c>
      <c r="E12" s="137">
        <v>3314</v>
      </c>
      <c r="F12" s="137">
        <v>3860</v>
      </c>
      <c r="G12" s="137">
        <v>3017</v>
      </c>
      <c r="H12" s="137">
        <v>3055</v>
      </c>
      <c r="I12" s="137">
        <v>3320</v>
      </c>
      <c r="J12" s="137">
        <v>3459</v>
      </c>
      <c r="K12" s="137">
        <v>268</v>
      </c>
      <c r="L12" s="137">
        <v>310</v>
      </c>
    </row>
    <row r="13" spans="2:12" x14ac:dyDescent="0.3">
      <c r="B13" t="s">
        <v>284</v>
      </c>
      <c r="C13" s="137">
        <v>4395</v>
      </c>
      <c r="D13" s="137">
        <v>4766</v>
      </c>
      <c r="E13" s="137">
        <v>4148</v>
      </c>
      <c r="F13" s="137">
        <v>3584</v>
      </c>
      <c r="G13" s="137">
        <v>3974</v>
      </c>
      <c r="H13" s="137">
        <v>4490</v>
      </c>
      <c r="I13" s="137">
        <v>5682</v>
      </c>
      <c r="J13" s="137">
        <v>5653</v>
      </c>
      <c r="K13" s="137">
        <v>6184</v>
      </c>
      <c r="L13" s="137">
        <v>7334</v>
      </c>
    </row>
    <row r="14" spans="2:12" x14ac:dyDescent="0.3">
      <c r="B14" t="s">
        <v>285</v>
      </c>
      <c r="C14" s="137">
        <v>121</v>
      </c>
      <c r="D14" s="137">
        <v>30</v>
      </c>
      <c r="E14" s="137">
        <v>69</v>
      </c>
      <c r="F14" s="137">
        <v>53</v>
      </c>
      <c r="G14" s="137">
        <v>47</v>
      </c>
      <c r="H14" s="137">
        <v>29</v>
      </c>
      <c r="I14" s="137">
        <v>41</v>
      </c>
      <c r="J14" s="137">
        <v>43</v>
      </c>
      <c r="K14" s="137">
        <v>25</v>
      </c>
      <c r="L14" s="137">
        <v>137</v>
      </c>
    </row>
    <row r="15" spans="2:12" ht="15" thickBot="1" x14ac:dyDescent="0.35">
      <c r="B15" t="s">
        <v>286</v>
      </c>
      <c r="C15" s="138">
        <v>6317</v>
      </c>
      <c r="D15" s="138">
        <v>6918</v>
      </c>
      <c r="E15" s="138">
        <v>5135</v>
      </c>
      <c r="F15" s="138">
        <v>7118</v>
      </c>
      <c r="G15" s="138">
        <v>10253</v>
      </c>
      <c r="H15" s="138">
        <v>12901</v>
      </c>
      <c r="I15" s="138">
        <v>8788</v>
      </c>
      <c r="J15" s="138">
        <v>9232</v>
      </c>
      <c r="K15" s="138">
        <v>10851</v>
      </c>
      <c r="L15" s="138">
        <v>12429</v>
      </c>
    </row>
    <row r="16" spans="2:12" ht="15" thickBot="1" x14ac:dyDescent="0.35">
      <c r="B16" s="135" t="s">
        <v>100</v>
      </c>
      <c r="C16" s="136">
        <v>61095</v>
      </c>
      <c r="D16" s="136">
        <v>64297</v>
      </c>
      <c r="E16" s="136">
        <v>64590</v>
      </c>
      <c r="F16" s="136">
        <v>68194</v>
      </c>
      <c r="G16" s="136">
        <v>67622</v>
      </c>
      <c r="H16" s="136">
        <v>69776</v>
      </c>
      <c r="I16" s="136">
        <v>80712</v>
      </c>
      <c r="J16" s="136">
        <v>85328</v>
      </c>
      <c r="K16" s="136">
        <v>91908</v>
      </c>
      <c r="L16" s="136">
        <v>108407</v>
      </c>
    </row>
    <row r="17" spans="2:12" x14ac:dyDescent="0.3"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2:12" x14ac:dyDescent="0.3">
      <c r="B18" s="2" t="s">
        <v>287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2:12" x14ac:dyDescent="0.3">
      <c r="B19" t="s">
        <v>288</v>
      </c>
      <c r="C19" s="141">
        <v>475</v>
      </c>
      <c r="D19" s="141">
        <v>523</v>
      </c>
      <c r="E19" s="141">
        <v>651</v>
      </c>
      <c r="F19" s="141">
        <v>686</v>
      </c>
      <c r="G19" s="141">
        <v>642</v>
      </c>
      <c r="H19" s="141">
        <v>862</v>
      </c>
      <c r="I19" s="141">
        <v>898</v>
      </c>
      <c r="J19" s="141">
        <v>1047</v>
      </c>
      <c r="K19" s="141">
        <v>1017</v>
      </c>
      <c r="L19" s="141">
        <v>1190</v>
      </c>
    </row>
    <row r="20" spans="2:12" x14ac:dyDescent="0.3">
      <c r="B20" t="s">
        <v>289</v>
      </c>
      <c r="C20" s="141">
        <v>4742</v>
      </c>
      <c r="D20" s="141">
        <v>4877</v>
      </c>
      <c r="E20" s="141">
        <v>5414</v>
      </c>
      <c r="F20" s="141">
        <v>5844</v>
      </c>
      <c r="G20" s="141">
        <v>5937</v>
      </c>
      <c r="H20" s="141">
        <v>6048</v>
      </c>
      <c r="I20" s="141">
        <v>6820</v>
      </c>
      <c r="J20" s="141">
        <v>6803</v>
      </c>
      <c r="K20" s="141">
        <v>7052</v>
      </c>
      <c r="L20" s="141">
        <v>8074</v>
      </c>
    </row>
    <row r="21" spans="2:12" x14ac:dyDescent="0.3">
      <c r="B21" t="s">
        <v>290</v>
      </c>
      <c r="C21" s="141">
        <v>7556</v>
      </c>
      <c r="D21" s="141">
        <v>8723</v>
      </c>
      <c r="E21" s="141">
        <v>9814</v>
      </c>
      <c r="F21" s="141">
        <v>10976</v>
      </c>
      <c r="G21" s="141">
        <v>11629</v>
      </c>
      <c r="H21" s="141">
        <v>12363</v>
      </c>
      <c r="I21" s="141">
        <v>13077</v>
      </c>
      <c r="J21" s="141">
        <v>13706</v>
      </c>
      <c r="K21" s="141">
        <v>14215</v>
      </c>
      <c r="L21" s="141">
        <v>15882</v>
      </c>
    </row>
    <row r="22" spans="2:12" x14ac:dyDescent="0.3">
      <c r="B22" t="s">
        <v>291</v>
      </c>
      <c r="C22" s="141">
        <v>170</v>
      </c>
      <c r="D22" s="141">
        <v>195</v>
      </c>
      <c r="E22" s="141">
        <v>221</v>
      </c>
      <c r="F22" s="141">
        <v>233</v>
      </c>
      <c r="G22" s="141">
        <v>273</v>
      </c>
      <c r="H22" s="141">
        <v>305</v>
      </c>
      <c r="I22" s="141">
        <v>327</v>
      </c>
      <c r="J22" s="141">
        <v>345</v>
      </c>
      <c r="K22" s="141">
        <v>368</v>
      </c>
      <c r="L22" s="141">
        <v>418</v>
      </c>
    </row>
    <row r="23" spans="2:12" x14ac:dyDescent="0.3">
      <c r="B23" t="s">
        <v>292</v>
      </c>
      <c r="C23" s="141">
        <v>349</v>
      </c>
      <c r="D23" s="141">
        <v>373</v>
      </c>
      <c r="E23" s="141">
        <v>400</v>
      </c>
      <c r="F23" s="141">
        <v>427</v>
      </c>
      <c r="G23" s="141">
        <v>421</v>
      </c>
      <c r="H23" s="141">
        <v>423</v>
      </c>
      <c r="I23" s="141">
        <v>444</v>
      </c>
      <c r="J23" s="141">
        <v>454</v>
      </c>
      <c r="K23" s="141">
        <v>481</v>
      </c>
      <c r="L23" s="141">
        <v>484</v>
      </c>
    </row>
    <row r="24" spans="2:12" x14ac:dyDescent="0.3">
      <c r="B24" t="s">
        <v>293</v>
      </c>
      <c r="C24" s="141">
        <v>107</v>
      </c>
      <c r="D24" s="141">
        <v>184</v>
      </c>
      <c r="E24" s="141">
        <v>246</v>
      </c>
      <c r="F24" s="141">
        <v>319</v>
      </c>
      <c r="G24" s="141">
        <v>371</v>
      </c>
      <c r="H24" s="141">
        <v>408</v>
      </c>
      <c r="I24" s="141">
        <v>447</v>
      </c>
      <c r="J24" s="141">
        <v>414</v>
      </c>
      <c r="K24" s="141">
        <v>478</v>
      </c>
      <c r="L24" s="141">
        <v>581</v>
      </c>
    </row>
    <row r="25" spans="2:12" x14ac:dyDescent="0.3">
      <c r="B25" t="s">
        <v>294</v>
      </c>
      <c r="C25" s="141">
        <v>5536</v>
      </c>
      <c r="D25" s="141">
        <v>11897</v>
      </c>
      <c r="E25" s="141">
        <v>14678</v>
      </c>
      <c r="F25" s="141">
        <v>16322</v>
      </c>
      <c r="G25" s="141">
        <v>15934</v>
      </c>
      <c r="H25" s="141">
        <v>6591</v>
      </c>
      <c r="I25" s="141">
        <v>8358</v>
      </c>
      <c r="J25" s="141">
        <v>8569</v>
      </c>
      <c r="K25" s="141">
        <v>8939</v>
      </c>
      <c r="L25" s="141">
        <v>9833</v>
      </c>
    </row>
    <row r="26" spans="2:12" x14ac:dyDescent="0.3">
      <c r="B26" t="s">
        <v>295</v>
      </c>
      <c r="C26" s="141">
        <v>5531</v>
      </c>
      <c r="D26" s="141">
        <v>175</v>
      </c>
      <c r="E26" s="141">
        <v>264</v>
      </c>
      <c r="F26" s="141">
        <v>310</v>
      </c>
      <c r="G26" s="141">
        <v>371</v>
      </c>
      <c r="H26" s="141">
        <v>11707</v>
      </c>
      <c r="I26" s="141">
        <v>12729</v>
      </c>
      <c r="J26" s="141">
        <v>12983</v>
      </c>
      <c r="K26" s="141">
        <v>13399</v>
      </c>
      <c r="L26" s="141">
        <v>23859</v>
      </c>
    </row>
    <row r="27" spans="2:12" x14ac:dyDescent="0.3">
      <c r="B27" s="2" t="s">
        <v>296</v>
      </c>
      <c r="C27" s="138">
        <v>24466</v>
      </c>
      <c r="D27" s="138">
        <v>26949</v>
      </c>
      <c r="E27" s="138">
        <v>31687</v>
      </c>
      <c r="F27" s="138">
        <v>35116</v>
      </c>
      <c r="G27" s="138">
        <v>35579</v>
      </c>
      <c r="H27" s="138">
        <v>38707</v>
      </c>
      <c r="I27" s="138">
        <v>43100</v>
      </c>
      <c r="J27" s="138">
        <v>44320</v>
      </c>
      <c r="K27" s="138">
        <v>45950</v>
      </c>
      <c r="L27" s="138">
        <v>60321</v>
      </c>
    </row>
    <row r="28" spans="2:12" ht="15" thickBot="1" x14ac:dyDescent="0.35">
      <c r="B28" s="2" t="s">
        <v>297</v>
      </c>
      <c r="C28" s="138">
        <v>6791</v>
      </c>
      <c r="D28" s="138">
        <v>8096</v>
      </c>
      <c r="E28" s="138">
        <v>9850</v>
      </c>
      <c r="F28" s="138">
        <v>12269</v>
      </c>
      <c r="G28" s="138">
        <v>14026</v>
      </c>
      <c r="H28" s="138">
        <v>16042</v>
      </c>
      <c r="I28" s="138">
        <v>19035</v>
      </c>
      <c r="J28" s="138">
        <v>21072</v>
      </c>
      <c r="K28" s="138">
        <v>23363</v>
      </c>
      <c r="L28" s="138">
        <v>27499</v>
      </c>
    </row>
    <row r="29" spans="2:12" ht="15" thickBot="1" x14ac:dyDescent="0.35">
      <c r="B29" s="2" t="s">
        <v>27</v>
      </c>
      <c r="C29" s="139">
        <f>C27-C28</f>
        <v>17675</v>
      </c>
      <c r="D29" s="139">
        <f t="shared" ref="D29:L29" si="0">D27-D28</f>
        <v>18853</v>
      </c>
      <c r="E29" s="139">
        <f t="shared" si="0"/>
        <v>21837</v>
      </c>
      <c r="F29" s="139">
        <f t="shared" si="0"/>
        <v>22847</v>
      </c>
      <c r="G29" s="139">
        <f t="shared" si="0"/>
        <v>21553</v>
      </c>
      <c r="H29" s="139">
        <f t="shared" si="0"/>
        <v>22665</v>
      </c>
      <c r="I29" s="139">
        <f t="shared" si="0"/>
        <v>24065</v>
      </c>
      <c r="J29" s="139">
        <f t="shared" si="0"/>
        <v>23248</v>
      </c>
      <c r="K29" s="139">
        <f t="shared" si="0"/>
        <v>22587</v>
      </c>
      <c r="L29" s="139">
        <f t="shared" si="0"/>
        <v>32822</v>
      </c>
    </row>
    <row r="30" spans="2:12" x14ac:dyDescent="0.3">
      <c r="B30" s="2"/>
      <c r="C30" s="138"/>
      <c r="D30" s="138"/>
      <c r="E30" s="138"/>
      <c r="F30" s="138"/>
      <c r="G30" s="138"/>
      <c r="H30" s="138"/>
      <c r="I30" s="138"/>
      <c r="J30" s="138"/>
      <c r="K30" s="138"/>
      <c r="L30" s="138"/>
    </row>
    <row r="31" spans="2:12" x14ac:dyDescent="0.3">
      <c r="B31" s="2" t="s">
        <v>298</v>
      </c>
      <c r="C31" s="140">
        <v>2801</v>
      </c>
      <c r="D31" s="140">
        <v>2465</v>
      </c>
      <c r="E31" s="140">
        <v>1411</v>
      </c>
      <c r="F31" s="140">
        <v>1220</v>
      </c>
      <c r="G31" s="140">
        <v>1567</v>
      </c>
      <c r="H31" s="140">
        <v>1287</v>
      </c>
      <c r="I31" s="140">
        <v>4973</v>
      </c>
      <c r="J31" s="140">
        <v>5354</v>
      </c>
      <c r="K31" s="140">
        <v>6644</v>
      </c>
      <c r="L31" s="140">
        <v>3052</v>
      </c>
    </row>
    <row r="32" spans="2:12" x14ac:dyDescent="0.3">
      <c r="B32" s="2" t="s">
        <v>29</v>
      </c>
      <c r="C32" s="140">
        <v>1192</v>
      </c>
      <c r="D32" s="140">
        <v>7143</v>
      </c>
      <c r="E32" s="140">
        <v>7903</v>
      </c>
      <c r="F32" s="140">
        <v>10143</v>
      </c>
      <c r="G32" s="140">
        <v>9612</v>
      </c>
      <c r="H32" s="140">
        <v>12849</v>
      </c>
      <c r="I32" s="140">
        <v>14824</v>
      </c>
      <c r="J32" s="140">
        <v>15026</v>
      </c>
      <c r="K32" s="140">
        <v>18354</v>
      </c>
      <c r="L32" s="140">
        <v>24723</v>
      </c>
    </row>
    <row r="33" spans="2:12" x14ac:dyDescent="0.3">
      <c r="B33" s="2"/>
      <c r="C33" s="138"/>
      <c r="D33" s="138"/>
      <c r="E33" s="138"/>
      <c r="F33" s="138"/>
      <c r="G33" s="138"/>
      <c r="H33" s="138"/>
      <c r="I33" s="138"/>
      <c r="J33" s="138"/>
      <c r="K33" s="138"/>
      <c r="L33" s="138"/>
    </row>
    <row r="34" spans="2:12" x14ac:dyDescent="0.3">
      <c r="B34" s="2" t="s">
        <v>299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2:12" x14ac:dyDescent="0.3">
      <c r="B35" t="s">
        <v>300</v>
      </c>
      <c r="C35" s="140">
        <v>6833</v>
      </c>
      <c r="D35" s="140">
        <v>6881</v>
      </c>
      <c r="E35" s="140">
        <v>7886</v>
      </c>
      <c r="F35" s="140">
        <v>7875</v>
      </c>
      <c r="G35" s="140">
        <v>8997</v>
      </c>
      <c r="H35" s="140">
        <v>8925</v>
      </c>
      <c r="I35" s="140">
        <v>10513</v>
      </c>
      <c r="J35" s="140">
        <v>9868</v>
      </c>
      <c r="K35" s="140">
        <v>10243</v>
      </c>
      <c r="L35" s="140">
        <v>11493</v>
      </c>
    </row>
    <row r="36" spans="2:12" x14ac:dyDescent="0.3">
      <c r="B36" t="s">
        <v>301</v>
      </c>
      <c r="C36" s="140">
        <v>7203</v>
      </c>
      <c r="D36" s="140">
        <v>7815</v>
      </c>
      <c r="E36" s="140">
        <v>8884</v>
      </c>
      <c r="F36" s="140">
        <v>9421</v>
      </c>
      <c r="G36" s="140">
        <v>9061</v>
      </c>
      <c r="H36" s="140">
        <v>10485</v>
      </c>
      <c r="I36" s="140">
        <v>11439</v>
      </c>
      <c r="J36" s="140">
        <v>11249</v>
      </c>
      <c r="K36" s="140">
        <v>13046</v>
      </c>
      <c r="L36" s="140">
        <v>15510</v>
      </c>
    </row>
    <row r="37" spans="2:12" x14ac:dyDescent="0.3">
      <c r="B37" t="s">
        <v>302</v>
      </c>
      <c r="C37" s="140">
        <v>15141</v>
      </c>
      <c r="D37" s="140">
        <v>9929</v>
      </c>
      <c r="E37" s="140">
        <v>7276</v>
      </c>
      <c r="F37" s="140">
        <v>6488</v>
      </c>
      <c r="G37" s="140">
        <v>6446</v>
      </c>
      <c r="H37" s="140">
        <v>5033</v>
      </c>
      <c r="I37" s="140">
        <v>5770</v>
      </c>
      <c r="J37" s="140">
        <v>10521</v>
      </c>
      <c r="K37" s="140">
        <v>11332</v>
      </c>
      <c r="L37" s="140">
        <v>11603</v>
      </c>
    </row>
    <row r="38" spans="2:12" x14ac:dyDescent="0.3">
      <c r="B38" t="s">
        <v>303</v>
      </c>
      <c r="C38" s="140">
        <v>2160</v>
      </c>
      <c r="D38" s="140">
        <v>865</v>
      </c>
      <c r="E38" s="140">
        <v>855</v>
      </c>
      <c r="F38" s="140">
        <v>678</v>
      </c>
      <c r="G38" s="140">
        <v>649</v>
      </c>
      <c r="H38" s="140">
        <v>720</v>
      </c>
      <c r="I38" s="140">
        <v>818</v>
      </c>
      <c r="J38" s="140">
        <v>855</v>
      </c>
      <c r="K38" s="140">
        <v>785</v>
      </c>
      <c r="L38" s="140">
        <v>923</v>
      </c>
    </row>
    <row r="39" spans="2:12" ht="15" thickBot="1" x14ac:dyDescent="0.35">
      <c r="B39" t="s">
        <v>304</v>
      </c>
      <c r="C39" s="142">
        <v>8091</v>
      </c>
      <c r="D39" s="142">
        <v>10346</v>
      </c>
      <c r="E39" s="142">
        <v>8538</v>
      </c>
      <c r="F39" s="142">
        <v>9522</v>
      </c>
      <c r="G39" s="142">
        <v>9737</v>
      </c>
      <c r="H39" s="142">
        <v>7812</v>
      </c>
      <c r="I39" s="142">
        <v>8309</v>
      </c>
      <c r="J39" s="142">
        <v>9206</v>
      </c>
      <c r="K39" s="142">
        <v>8918</v>
      </c>
      <c r="L39" s="142">
        <v>8282</v>
      </c>
    </row>
    <row r="40" spans="2:12" ht="15" thickBot="1" x14ac:dyDescent="0.35">
      <c r="B40" s="2" t="s">
        <v>102</v>
      </c>
      <c r="C40" s="143">
        <v>61095</v>
      </c>
      <c r="D40" s="143">
        <v>64297</v>
      </c>
      <c r="E40" s="143">
        <v>64590</v>
      </c>
      <c r="F40" s="143">
        <v>68194</v>
      </c>
      <c r="G40" s="143">
        <v>67622</v>
      </c>
      <c r="H40" s="143">
        <v>69776</v>
      </c>
      <c r="I40" s="143">
        <v>80712</v>
      </c>
      <c r="J40" s="143">
        <v>85328</v>
      </c>
      <c r="K40" s="143">
        <v>91908</v>
      </c>
      <c r="L40" s="143">
        <v>108407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FD74-8334-4D54-A847-A9E12767746A}">
  <sheetPr>
    <tabColor rgb="FFFFFF00"/>
  </sheetPr>
  <dimension ref="A2:K63"/>
  <sheetViews>
    <sheetView showGridLines="0" zoomScale="109" zoomScaleNormal="70" workbookViewId="0">
      <pane ySplit="2" topLeftCell="A41" activePane="bottomLeft" state="frozen"/>
      <selection pane="bottomLeft" activeCell="H15" sqref="H15"/>
    </sheetView>
  </sheetViews>
  <sheetFormatPr defaultRowHeight="14.4" x14ac:dyDescent="0.3"/>
  <cols>
    <col min="1" max="1" width="3.77734375" customWidth="1"/>
    <col min="7" max="7" width="11.33203125" bestFit="1" customWidth="1"/>
    <col min="8" max="8" width="9.44140625" bestFit="1" customWidth="1"/>
    <col min="9" max="9" width="11.33203125" bestFit="1" customWidth="1"/>
    <col min="10" max="10" width="13.77734375" bestFit="1" customWidth="1"/>
    <col min="11" max="11" width="12.44140625" bestFit="1" customWidth="1"/>
  </cols>
  <sheetData>
    <row r="2" spans="2:11" x14ac:dyDescent="0.3">
      <c r="B2" s="150" t="s">
        <v>305</v>
      </c>
      <c r="C2" s="151"/>
      <c r="D2" s="151"/>
      <c r="E2" s="151"/>
      <c r="F2" s="151"/>
      <c r="G2" s="152">
        <f>'Raw FS'!H$2</f>
        <v>44621</v>
      </c>
      <c r="H2" s="152">
        <f>'Raw FS'!I$2</f>
        <v>44986</v>
      </c>
      <c r="I2" s="152">
        <f>'Raw FS'!J$2</f>
        <v>45352</v>
      </c>
      <c r="J2" s="152">
        <f>'Raw FS'!K$2</f>
        <v>45717</v>
      </c>
      <c r="K2" s="152">
        <f>'Raw FS'!L$2</f>
        <v>46082</v>
      </c>
    </row>
    <row r="4" spans="2:11" x14ac:dyDescent="0.3">
      <c r="B4" s="2" t="s">
        <v>306</v>
      </c>
    </row>
    <row r="5" spans="2:11" x14ac:dyDescent="0.3">
      <c r="B5" s="134" t="str">
        <f>'Raw FS'!B35</f>
        <v>Inventories</v>
      </c>
      <c r="C5" s="134"/>
      <c r="D5" s="134"/>
      <c r="E5" s="134"/>
      <c r="F5" s="134"/>
      <c r="G5" s="137">
        <f>'Raw FS'!H35</f>
        <v>8925</v>
      </c>
      <c r="H5" s="137">
        <f>'Raw FS'!I35</f>
        <v>10513</v>
      </c>
      <c r="I5" s="137">
        <f>'Raw FS'!J35</f>
        <v>9868</v>
      </c>
      <c r="J5" s="137">
        <f>'Raw FS'!K35</f>
        <v>10243</v>
      </c>
      <c r="K5" s="137">
        <f>'Raw FS'!L35</f>
        <v>11493</v>
      </c>
    </row>
    <row r="6" spans="2:11" x14ac:dyDescent="0.3">
      <c r="B6" s="134" t="str">
        <f>'Raw FS'!B36</f>
        <v>Trade receivables</v>
      </c>
      <c r="C6" s="134"/>
      <c r="D6" s="134"/>
      <c r="E6" s="134"/>
      <c r="F6" s="134"/>
      <c r="G6" s="137">
        <f>'Raw FS'!H36</f>
        <v>10485</v>
      </c>
      <c r="H6" s="137">
        <f>'Raw FS'!I36</f>
        <v>11439</v>
      </c>
      <c r="I6" s="137">
        <f>'Raw FS'!J36</f>
        <v>11249</v>
      </c>
      <c r="J6" s="137">
        <f>'Raw FS'!K36</f>
        <v>13046</v>
      </c>
      <c r="K6" s="137">
        <f>'Raw FS'!L36</f>
        <v>15510</v>
      </c>
    </row>
    <row r="7" spans="2:11" x14ac:dyDescent="0.3">
      <c r="B7" s="134" t="str">
        <f>'Raw FS'!B38</f>
        <v>Loans n Advances</v>
      </c>
      <c r="C7" s="134"/>
      <c r="D7" s="134"/>
      <c r="E7" s="134"/>
      <c r="F7" s="134"/>
      <c r="G7" s="137">
        <f>'Raw FS'!H38</f>
        <v>720</v>
      </c>
      <c r="H7" s="137">
        <f>'Raw FS'!I38</f>
        <v>818</v>
      </c>
      <c r="I7" s="137">
        <f>'Raw FS'!J38</f>
        <v>855</v>
      </c>
      <c r="J7" s="137">
        <f>'Raw FS'!K38</f>
        <v>785</v>
      </c>
      <c r="K7" s="137">
        <f>'Raw FS'!L38</f>
        <v>923</v>
      </c>
    </row>
    <row r="8" spans="2:11" x14ac:dyDescent="0.3">
      <c r="B8" t="str">
        <f>'Raw FS'!B39</f>
        <v>Other asset items</v>
      </c>
      <c r="G8" s="138">
        <f>'Raw FS'!H39</f>
        <v>7812</v>
      </c>
      <c r="H8" s="138">
        <f>'Raw FS'!I39</f>
        <v>8309</v>
      </c>
      <c r="I8" s="138">
        <f>'Raw FS'!J39</f>
        <v>9206</v>
      </c>
      <c r="J8" s="138">
        <f>'Raw FS'!K39</f>
        <v>8918</v>
      </c>
      <c r="K8" s="138">
        <f>'Raw FS'!L39</f>
        <v>8282</v>
      </c>
    </row>
    <row r="9" spans="2:11" x14ac:dyDescent="0.3">
      <c r="B9" s="144" t="s">
        <v>104</v>
      </c>
      <c r="C9" s="144"/>
      <c r="D9" s="144"/>
      <c r="E9" s="144"/>
      <c r="F9" s="144"/>
      <c r="G9" s="153">
        <f>SUM(G5:G8)</f>
        <v>27942</v>
      </c>
      <c r="H9" s="153">
        <f t="shared" ref="H9:K9" si="0">SUM(H5:H8)</f>
        <v>31079</v>
      </c>
      <c r="I9" s="153">
        <f t="shared" si="0"/>
        <v>31178</v>
      </c>
      <c r="J9" s="153">
        <f t="shared" si="0"/>
        <v>32992</v>
      </c>
      <c r="K9" s="153">
        <f t="shared" si="0"/>
        <v>36208</v>
      </c>
    </row>
    <row r="10" spans="2:11" x14ac:dyDescent="0.3">
      <c r="G10" s="138"/>
      <c r="H10" s="138"/>
      <c r="I10" s="138"/>
      <c r="J10" s="138"/>
      <c r="K10" s="138"/>
    </row>
    <row r="11" spans="2:11" x14ac:dyDescent="0.3">
      <c r="B11" s="2" t="s">
        <v>307</v>
      </c>
      <c r="G11" s="138"/>
      <c r="H11" s="138"/>
      <c r="I11" s="138"/>
      <c r="J11" s="138"/>
      <c r="K11" s="138"/>
    </row>
    <row r="12" spans="2:11" x14ac:dyDescent="0.3">
      <c r="B12" s="134" t="str">
        <f>'Raw FS'!B13</f>
        <v>Trade Payables</v>
      </c>
      <c r="C12" s="134"/>
      <c r="D12" s="134"/>
      <c r="E12" s="134"/>
      <c r="F12" s="134"/>
      <c r="G12" s="137">
        <f>'Raw FS'!H13</f>
        <v>4490</v>
      </c>
      <c r="H12" s="137">
        <f>'Raw FS'!I13</f>
        <v>5682</v>
      </c>
      <c r="I12" s="137">
        <f>'Raw FS'!J13</f>
        <v>5653</v>
      </c>
      <c r="J12" s="137">
        <f>'Raw FS'!K13</f>
        <v>6184</v>
      </c>
      <c r="K12" s="137">
        <f>'Raw FS'!L13</f>
        <v>7334</v>
      </c>
    </row>
    <row r="13" spans="2:11" x14ac:dyDescent="0.3">
      <c r="B13" s="134" t="str">
        <f>'Raw FS'!B14</f>
        <v>Advance from Customers</v>
      </c>
      <c r="C13" s="134"/>
      <c r="D13" s="134"/>
      <c r="E13" s="134"/>
      <c r="F13" s="134"/>
      <c r="G13" s="137">
        <f>'Raw FS'!H14</f>
        <v>29</v>
      </c>
      <c r="H13" s="137">
        <f>'Raw FS'!I14</f>
        <v>41</v>
      </c>
      <c r="I13" s="137">
        <f>'Raw FS'!J14</f>
        <v>43</v>
      </c>
      <c r="J13" s="137">
        <f>'Raw FS'!K14</f>
        <v>25</v>
      </c>
      <c r="K13" s="137">
        <f>'Raw FS'!L14</f>
        <v>137</v>
      </c>
    </row>
    <row r="14" spans="2:11" x14ac:dyDescent="0.3">
      <c r="B14" s="134" t="str">
        <f>'Raw FS'!B15</f>
        <v>Other liability items</v>
      </c>
      <c r="C14" s="134"/>
      <c r="D14" s="134"/>
      <c r="E14" s="134"/>
      <c r="F14" s="134"/>
      <c r="G14" s="137">
        <f>'Raw FS'!H15</f>
        <v>12901</v>
      </c>
      <c r="H14" s="137">
        <f>'Raw FS'!I15</f>
        <v>8788</v>
      </c>
      <c r="I14" s="137">
        <f>'Raw FS'!J15</f>
        <v>9232</v>
      </c>
      <c r="J14" s="137">
        <f>'Raw FS'!K15</f>
        <v>10851</v>
      </c>
      <c r="K14" s="137">
        <f>'Raw FS'!L15</f>
        <v>12429</v>
      </c>
    </row>
    <row r="15" spans="2:11" x14ac:dyDescent="0.3">
      <c r="B15" s="144" t="s">
        <v>308</v>
      </c>
      <c r="C15" s="144"/>
      <c r="D15" s="144"/>
      <c r="E15" s="144"/>
      <c r="F15" s="144"/>
      <c r="G15" s="153">
        <f>SUM(G12:G14)</f>
        <v>17420</v>
      </c>
      <c r="H15" s="153">
        <f t="shared" ref="H15:K15" si="1">SUM(H12:H14)</f>
        <v>14511</v>
      </c>
      <c r="I15" s="153">
        <f t="shared" si="1"/>
        <v>14928</v>
      </c>
      <c r="J15" s="153">
        <f t="shared" si="1"/>
        <v>17060</v>
      </c>
      <c r="K15" s="153">
        <f t="shared" si="1"/>
        <v>19900</v>
      </c>
    </row>
    <row r="16" spans="2:11" x14ac:dyDescent="0.3">
      <c r="G16" s="138"/>
      <c r="H16" s="138"/>
      <c r="I16" s="138"/>
      <c r="J16" s="138"/>
      <c r="K16" s="138"/>
    </row>
    <row r="17" spans="1:11" ht="15" thickBot="1" x14ac:dyDescent="0.35">
      <c r="A17" t="s">
        <v>78</v>
      </c>
      <c r="B17" s="147" t="s">
        <v>309</v>
      </c>
      <c r="C17" s="147"/>
      <c r="D17" s="147"/>
      <c r="E17" s="147"/>
      <c r="F17" s="147"/>
      <c r="G17" s="157">
        <f>G9-G15</f>
        <v>10522</v>
      </c>
      <c r="H17" s="157">
        <f t="shared" ref="H17:K17" si="2">H9-H15</f>
        <v>16568</v>
      </c>
      <c r="I17" s="157">
        <f t="shared" si="2"/>
        <v>16250</v>
      </c>
      <c r="J17" s="157">
        <f t="shared" si="2"/>
        <v>15932</v>
      </c>
      <c r="K17" s="157">
        <f t="shared" si="2"/>
        <v>16308</v>
      </c>
    </row>
    <row r="18" spans="1:11" ht="15" thickTop="1" x14ac:dyDescent="0.3">
      <c r="G18" s="138"/>
      <c r="H18" s="138"/>
      <c r="I18" s="138"/>
      <c r="J18" s="138"/>
      <c r="K18" s="138"/>
    </row>
    <row r="19" spans="1:11" x14ac:dyDescent="0.3">
      <c r="B19" s="2" t="s">
        <v>310</v>
      </c>
      <c r="G19" s="138"/>
      <c r="H19" s="138"/>
      <c r="I19" s="138"/>
      <c r="J19" s="138"/>
      <c r="K19" s="138"/>
    </row>
    <row r="20" spans="1:11" x14ac:dyDescent="0.3">
      <c r="B20" s="134" t="str">
        <f>'Raw FS'!B19</f>
        <v>Land</v>
      </c>
      <c r="C20" s="134"/>
      <c r="D20" s="134"/>
      <c r="E20" s="134"/>
      <c r="F20" s="134"/>
      <c r="G20" s="137">
        <f>'Raw FS'!H19</f>
        <v>862</v>
      </c>
      <c r="H20" s="137">
        <f>'Raw FS'!I19</f>
        <v>898</v>
      </c>
      <c r="I20" s="137">
        <f>'Raw FS'!J19</f>
        <v>1047</v>
      </c>
      <c r="J20" s="137">
        <f>'Raw FS'!K19</f>
        <v>1017</v>
      </c>
      <c r="K20" s="137">
        <f>'Raw FS'!L19</f>
        <v>1190</v>
      </c>
    </row>
    <row r="21" spans="1:11" x14ac:dyDescent="0.3">
      <c r="B21" s="134" t="str">
        <f>'Raw FS'!B20</f>
        <v>Building</v>
      </c>
      <c r="C21" s="134"/>
      <c r="D21" s="134"/>
      <c r="E21" s="134"/>
      <c r="F21" s="134"/>
      <c r="G21" s="137">
        <f>'Raw FS'!H20</f>
        <v>6048</v>
      </c>
      <c r="H21" s="137">
        <f>'Raw FS'!I20</f>
        <v>6820</v>
      </c>
      <c r="I21" s="137">
        <f>'Raw FS'!J20</f>
        <v>6803</v>
      </c>
      <c r="J21" s="137">
        <f>'Raw FS'!K20</f>
        <v>7052</v>
      </c>
      <c r="K21" s="137">
        <f>'Raw FS'!L20</f>
        <v>8074</v>
      </c>
    </row>
    <row r="22" spans="1:11" x14ac:dyDescent="0.3">
      <c r="B22" s="134" t="str">
        <f>'Raw FS'!B21</f>
        <v>Plant Machinery</v>
      </c>
      <c r="C22" s="134"/>
      <c r="D22" s="134"/>
      <c r="E22" s="134"/>
      <c r="F22" s="134"/>
      <c r="G22" s="137">
        <f>'Raw FS'!H21</f>
        <v>12363</v>
      </c>
      <c r="H22" s="137">
        <f>'Raw FS'!I21</f>
        <v>13077</v>
      </c>
      <c r="I22" s="137">
        <f>'Raw FS'!J21</f>
        <v>13706</v>
      </c>
      <c r="J22" s="137">
        <f>'Raw FS'!K21</f>
        <v>14215</v>
      </c>
      <c r="K22" s="137">
        <f>'Raw FS'!L21</f>
        <v>15882</v>
      </c>
    </row>
    <row r="23" spans="1:11" x14ac:dyDescent="0.3">
      <c r="B23" s="134" t="str">
        <f>'Raw FS'!B22</f>
        <v>Equipments</v>
      </c>
      <c r="C23" s="134"/>
      <c r="D23" s="134"/>
      <c r="E23" s="134"/>
      <c r="F23" s="134"/>
      <c r="G23" s="137">
        <f>'Raw FS'!H22</f>
        <v>305</v>
      </c>
      <c r="H23" s="137">
        <f>'Raw FS'!I22</f>
        <v>327</v>
      </c>
      <c r="I23" s="137">
        <f>'Raw FS'!J22</f>
        <v>345</v>
      </c>
      <c r="J23" s="137">
        <f>'Raw FS'!K22</f>
        <v>368</v>
      </c>
      <c r="K23" s="137">
        <f>'Raw FS'!L22</f>
        <v>418</v>
      </c>
    </row>
    <row r="24" spans="1:11" x14ac:dyDescent="0.3">
      <c r="B24" s="134" t="str">
        <f>'Raw FS'!B23</f>
        <v>Furniture n fittings</v>
      </c>
      <c r="C24" s="134"/>
      <c r="D24" s="134"/>
      <c r="E24" s="134"/>
      <c r="F24" s="134"/>
      <c r="G24" s="137">
        <f>'Raw FS'!H23</f>
        <v>423</v>
      </c>
      <c r="H24" s="137">
        <f>'Raw FS'!I23</f>
        <v>444</v>
      </c>
      <c r="I24" s="137">
        <f>'Raw FS'!J23</f>
        <v>454</v>
      </c>
      <c r="J24" s="137">
        <f>'Raw FS'!K23</f>
        <v>481</v>
      </c>
      <c r="K24" s="137">
        <f>'Raw FS'!L23</f>
        <v>484</v>
      </c>
    </row>
    <row r="25" spans="1:11" x14ac:dyDescent="0.3">
      <c r="B25" s="134" t="str">
        <f>'Raw FS'!B24</f>
        <v>Vehicles</v>
      </c>
      <c r="C25" s="134"/>
      <c r="D25" s="134"/>
      <c r="E25" s="134"/>
      <c r="F25" s="134"/>
      <c r="G25" s="137">
        <f>'Raw FS'!H24</f>
        <v>408</v>
      </c>
      <c r="H25" s="137">
        <f>'Raw FS'!I24</f>
        <v>447</v>
      </c>
      <c r="I25" s="137">
        <f>'Raw FS'!J24</f>
        <v>414</v>
      </c>
      <c r="J25" s="137">
        <f>'Raw FS'!K24</f>
        <v>478</v>
      </c>
      <c r="K25" s="137">
        <f>'Raw FS'!L24</f>
        <v>581</v>
      </c>
    </row>
    <row r="26" spans="1:11" x14ac:dyDescent="0.3">
      <c r="B26" s="134" t="str">
        <f>'Raw FS'!B25</f>
        <v>Intangible Assets</v>
      </c>
      <c r="C26" s="134"/>
      <c r="D26" s="134"/>
      <c r="E26" s="134"/>
      <c r="F26" s="134"/>
      <c r="G26" s="137">
        <f>'Raw FS'!H25</f>
        <v>6591</v>
      </c>
      <c r="H26" s="137">
        <f>'Raw FS'!I25</f>
        <v>8358</v>
      </c>
      <c r="I26" s="137">
        <f>'Raw FS'!J25</f>
        <v>8569</v>
      </c>
      <c r="J26" s="137">
        <f>'Raw FS'!K25</f>
        <v>8939</v>
      </c>
      <c r="K26" s="137">
        <f>'Raw FS'!L25</f>
        <v>9833</v>
      </c>
    </row>
    <row r="27" spans="1:11" x14ac:dyDescent="0.3">
      <c r="B27" s="134" t="str">
        <f>'Raw FS'!B26</f>
        <v>Other fixed assets</v>
      </c>
      <c r="C27" s="134"/>
      <c r="D27" s="134"/>
      <c r="E27" s="134"/>
      <c r="F27" s="134"/>
      <c r="G27" s="137">
        <f>'Raw FS'!H26</f>
        <v>11707</v>
      </c>
      <c r="H27" s="137">
        <f>'Raw FS'!I26</f>
        <v>12729</v>
      </c>
      <c r="I27" s="137">
        <f>'Raw FS'!J26</f>
        <v>12983</v>
      </c>
      <c r="J27" s="137">
        <f>'Raw FS'!K26</f>
        <v>13399</v>
      </c>
      <c r="K27" s="137">
        <f>'Raw FS'!L26</f>
        <v>23859</v>
      </c>
    </row>
    <row r="28" spans="1:11" ht="5.4" customHeight="1" x14ac:dyDescent="0.3">
      <c r="B28" s="134"/>
      <c r="C28" s="134"/>
      <c r="D28" s="134"/>
      <c r="E28" s="134"/>
      <c r="F28" s="134"/>
      <c r="G28" s="137"/>
      <c r="H28" s="137"/>
      <c r="I28" s="137"/>
      <c r="J28" s="137"/>
      <c r="K28" s="137"/>
    </row>
    <row r="29" spans="1:11" x14ac:dyDescent="0.3">
      <c r="B29" s="34" t="s">
        <v>296</v>
      </c>
      <c r="C29" s="34"/>
      <c r="D29" s="34"/>
      <c r="E29" s="34"/>
      <c r="F29" s="34"/>
      <c r="G29" s="155">
        <f>SUM(G20:G27)</f>
        <v>38707</v>
      </c>
      <c r="H29" s="155">
        <f>SUM(H20:H27)</f>
        <v>43100</v>
      </c>
      <c r="I29" s="155">
        <f>SUM(I20:I27)</f>
        <v>44321</v>
      </c>
      <c r="J29" s="155">
        <f>SUM(J20:J27)</f>
        <v>45949</v>
      </c>
      <c r="K29" s="155">
        <f>SUM(K20:K27)</f>
        <v>60321</v>
      </c>
    </row>
    <row r="30" spans="1:11" x14ac:dyDescent="0.3">
      <c r="B30" t="s">
        <v>311</v>
      </c>
      <c r="G30" s="138">
        <f>-'Raw FS'!H28</f>
        <v>-16042</v>
      </c>
      <c r="H30" s="138">
        <f>-'Raw FS'!I28</f>
        <v>-19035</v>
      </c>
      <c r="I30" s="138">
        <f>-'Raw FS'!J28</f>
        <v>-21072</v>
      </c>
      <c r="J30" s="138">
        <f>-'Raw FS'!K28</f>
        <v>-23363</v>
      </c>
      <c r="K30" s="138">
        <f>-'Raw FS'!L28</f>
        <v>-27499</v>
      </c>
    </row>
    <row r="31" spans="1:11" ht="15" thickBot="1" x14ac:dyDescent="0.35">
      <c r="A31" t="s">
        <v>78</v>
      </c>
      <c r="B31" s="145" t="s">
        <v>312</v>
      </c>
      <c r="C31" s="145"/>
      <c r="D31" s="145"/>
      <c r="E31" s="145"/>
      <c r="F31" s="145"/>
      <c r="G31" s="154">
        <f>SUM(G29:G30)</f>
        <v>22665</v>
      </c>
      <c r="H31" s="154">
        <f t="shared" ref="H31:K31" si="3">SUM(H29:H30)</f>
        <v>24065</v>
      </c>
      <c r="I31" s="154">
        <f t="shared" si="3"/>
        <v>23249</v>
      </c>
      <c r="J31" s="154">
        <f t="shared" si="3"/>
        <v>22586</v>
      </c>
      <c r="K31" s="154">
        <f t="shared" si="3"/>
        <v>32822</v>
      </c>
    </row>
    <row r="32" spans="1:11" ht="15" thickTop="1" x14ac:dyDescent="0.3">
      <c r="G32" s="138"/>
      <c r="H32" s="138"/>
      <c r="I32" s="138"/>
      <c r="J32" s="138"/>
      <c r="K32" s="138"/>
    </row>
    <row r="33" spans="1:11" x14ac:dyDescent="0.3">
      <c r="A33" t="s">
        <v>78</v>
      </c>
      <c r="B33" s="2" t="s">
        <v>313</v>
      </c>
      <c r="C33" s="2"/>
      <c r="D33" s="2"/>
      <c r="E33" s="2"/>
      <c r="F33" s="2"/>
      <c r="G33" s="156">
        <f>G17+G31</f>
        <v>33187</v>
      </c>
      <c r="H33" s="156">
        <f>H17+H31</f>
        <v>40633</v>
      </c>
      <c r="I33" s="156">
        <f>I17+I31</f>
        <v>39499</v>
      </c>
      <c r="J33" s="156">
        <f>J17+J31</f>
        <v>38518</v>
      </c>
      <c r="K33" s="156">
        <f>K17+K31</f>
        <v>49130</v>
      </c>
    </row>
    <row r="34" spans="1:11" x14ac:dyDescent="0.3">
      <c r="B34" s="2" t="s">
        <v>174</v>
      </c>
      <c r="C34" s="2"/>
      <c r="D34" s="2"/>
      <c r="E34" s="2"/>
      <c r="F34" s="2"/>
      <c r="G34" s="156">
        <f>HistoricalFS!H29</f>
        <v>8113.8299999999963</v>
      </c>
      <c r="H34" s="156">
        <f>HistoricalFS!I29</f>
        <v>9121.010000000002</v>
      </c>
      <c r="I34" s="156">
        <f>HistoricalFS!J29</f>
        <v>10461.129999999996</v>
      </c>
      <c r="J34" s="156">
        <f>HistoricalFS!K29</f>
        <v>12539.070000000003</v>
      </c>
      <c r="K34" s="156">
        <f>HistoricalFS!L29</f>
        <v>14793.550000000001</v>
      </c>
    </row>
    <row r="36" spans="1:11" ht="15" thickBot="1" x14ac:dyDescent="0.35">
      <c r="A36" t="s">
        <v>78</v>
      </c>
      <c r="B36" s="148" t="s">
        <v>314</v>
      </c>
      <c r="C36" s="148"/>
      <c r="D36" s="148"/>
      <c r="E36" s="148"/>
      <c r="F36" s="148"/>
      <c r="G36" s="149">
        <f>G34/G33</f>
        <v>0.24448820321210102</v>
      </c>
      <c r="H36" s="149">
        <f t="shared" ref="H36:K36" si="4">H34/H33</f>
        <v>0.22447296532375169</v>
      </c>
      <c r="I36" s="149">
        <f t="shared" si="4"/>
        <v>0.26484543912504105</v>
      </c>
      <c r="J36" s="149">
        <f t="shared" si="4"/>
        <v>0.32553793031829281</v>
      </c>
      <c r="K36" s="149">
        <f t="shared" si="4"/>
        <v>0.30111031956035011</v>
      </c>
    </row>
    <row r="37" spans="1:11" ht="15" thickTop="1" x14ac:dyDescent="0.3"/>
    <row r="38" spans="1:11" x14ac:dyDescent="0.3">
      <c r="B38" s="2"/>
    </row>
    <row r="39" spans="1:11" x14ac:dyDescent="0.3">
      <c r="A39" t="s">
        <v>78</v>
      </c>
      <c r="B39" s="150" t="s">
        <v>315</v>
      </c>
      <c r="C39" s="151"/>
      <c r="D39" s="151"/>
      <c r="E39" s="151"/>
      <c r="F39" s="151"/>
      <c r="G39" s="152">
        <f>'Raw FS'!H$2</f>
        <v>44621</v>
      </c>
      <c r="H39" s="152">
        <f>'Raw FS'!I$2</f>
        <v>44986</v>
      </c>
      <c r="I39" s="152">
        <f>'Raw FS'!J$2</f>
        <v>45352</v>
      </c>
      <c r="J39" s="152">
        <f>'Raw FS'!K$2</f>
        <v>45717</v>
      </c>
      <c r="K39" s="152">
        <f>'Raw FS'!L$2</f>
        <v>46082</v>
      </c>
    </row>
    <row r="41" spans="1:11" x14ac:dyDescent="0.3">
      <c r="B41" s="134" t="s">
        <v>316</v>
      </c>
      <c r="C41" s="134"/>
      <c r="D41" s="134"/>
      <c r="E41" s="134"/>
      <c r="F41" s="134"/>
      <c r="G41" s="137">
        <f>-SUM(HistoricalFS!H87:H88)</f>
        <v>1434</v>
      </c>
      <c r="H41" s="137">
        <f>-SUM(HistoricalFS!I87:I88)</f>
        <v>2065</v>
      </c>
      <c r="I41" s="137">
        <f>-SUM(HistoricalFS!J87:J88)</f>
        <v>2171</v>
      </c>
      <c r="J41" s="137">
        <f>-SUM(HistoricalFS!K87:K88)</f>
        <v>2068</v>
      </c>
      <c r="K41" s="137">
        <f>-SUM(HistoricalFS!L87:L88)</f>
        <v>3513</v>
      </c>
    </row>
    <row r="42" spans="1:11" x14ac:dyDescent="0.3">
      <c r="B42" s="134" t="s">
        <v>317</v>
      </c>
      <c r="C42" s="134"/>
      <c r="D42" s="134"/>
      <c r="E42" s="134"/>
      <c r="F42" s="134"/>
      <c r="G42" s="137"/>
      <c r="H42" s="137">
        <f>H17-G17</f>
        <v>6046</v>
      </c>
      <c r="I42" s="137">
        <f t="shared" ref="I42:K42" si="5">I17-H17</f>
        <v>-318</v>
      </c>
      <c r="J42" s="137">
        <f t="shared" si="5"/>
        <v>-318</v>
      </c>
      <c r="K42" s="137">
        <f t="shared" si="5"/>
        <v>376</v>
      </c>
    </row>
    <row r="43" spans="1:11" x14ac:dyDescent="0.3">
      <c r="B43" s="134"/>
      <c r="C43" s="134"/>
      <c r="D43" s="134"/>
      <c r="E43" s="134"/>
      <c r="F43" s="134"/>
      <c r="G43" s="137"/>
      <c r="H43" s="137"/>
      <c r="I43" s="137"/>
      <c r="J43" s="137"/>
      <c r="K43" s="137"/>
    </row>
    <row r="44" spans="1:11" x14ac:dyDescent="0.3">
      <c r="B44" s="134" t="s">
        <v>174</v>
      </c>
      <c r="C44" s="134"/>
      <c r="D44" s="134"/>
      <c r="E44" s="134"/>
      <c r="F44" s="134"/>
      <c r="G44" s="137">
        <f>G34</f>
        <v>8113.8299999999963</v>
      </c>
      <c r="H44" s="137">
        <f t="shared" ref="H44:K44" si="6">H34</f>
        <v>9121.010000000002</v>
      </c>
      <c r="I44" s="137">
        <f t="shared" si="6"/>
        <v>10461.129999999996</v>
      </c>
      <c r="J44" s="137">
        <f t="shared" si="6"/>
        <v>12539.070000000003</v>
      </c>
      <c r="K44" s="137">
        <f t="shared" si="6"/>
        <v>14793.550000000001</v>
      </c>
    </row>
    <row r="45" spans="1:11" x14ac:dyDescent="0.3">
      <c r="B45" s="134" t="s">
        <v>318</v>
      </c>
      <c r="C45" s="134"/>
      <c r="D45" s="134"/>
      <c r="E45" s="134"/>
      <c r="F45" s="134"/>
      <c r="G45" s="158">
        <v>0.25</v>
      </c>
      <c r="H45" s="158">
        <v>0.25</v>
      </c>
      <c r="I45" s="158">
        <v>0.25</v>
      </c>
      <c r="J45" s="158">
        <v>0.25</v>
      </c>
      <c r="K45" s="158">
        <v>0.25</v>
      </c>
    </row>
    <row r="46" spans="1:11" x14ac:dyDescent="0.3">
      <c r="B46" s="134" t="s">
        <v>320</v>
      </c>
      <c r="C46" s="134"/>
      <c r="D46" s="134"/>
      <c r="E46" s="134"/>
      <c r="F46" s="134"/>
      <c r="G46" s="137">
        <f>G44*(1-G45)</f>
        <v>6085.3724999999977</v>
      </c>
      <c r="H46" s="137">
        <f t="shared" ref="H46:K46" si="7">H44*(1-H45)</f>
        <v>6840.7575000000015</v>
      </c>
      <c r="I46" s="137">
        <f t="shared" si="7"/>
        <v>7845.8474999999962</v>
      </c>
      <c r="J46" s="137">
        <f t="shared" si="7"/>
        <v>9404.3025000000016</v>
      </c>
      <c r="K46" s="137">
        <f t="shared" si="7"/>
        <v>11095.1625</v>
      </c>
    </row>
    <row r="47" spans="1:11" x14ac:dyDescent="0.3">
      <c r="B47" s="134"/>
      <c r="C47" s="134"/>
      <c r="D47" s="134"/>
      <c r="E47" s="134"/>
      <c r="F47" s="134"/>
      <c r="G47" s="137"/>
      <c r="H47" s="137"/>
      <c r="I47" s="137"/>
      <c r="J47" s="137"/>
      <c r="K47" s="137"/>
    </row>
    <row r="48" spans="1:11" x14ac:dyDescent="0.3">
      <c r="B48" s="134" t="s">
        <v>319</v>
      </c>
      <c r="C48" s="134"/>
      <c r="D48" s="134"/>
      <c r="E48" s="134"/>
      <c r="F48" s="134"/>
      <c r="G48" s="137"/>
      <c r="H48" s="137">
        <f>SUM(H41:H42)</f>
        <v>8111</v>
      </c>
      <c r="I48" s="137">
        <f t="shared" ref="I48:K48" si="8">SUM(I41:I42)</f>
        <v>1853</v>
      </c>
      <c r="J48" s="137">
        <f t="shared" si="8"/>
        <v>1750</v>
      </c>
      <c r="K48" s="137">
        <f t="shared" si="8"/>
        <v>3889</v>
      </c>
    </row>
    <row r="49" spans="1:11" x14ac:dyDescent="0.3">
      <c r="B49" s="134"/>
      <c r="C49" s="134"/>
      <c r="D49" s="134"/>
      <c r="E49" s="134"/>
      <c r="F49" s="134"/>
      <c r="G49" s="134"/>
      <c r="H49" s="134"/>
      <c r="I49" s="134"/>
      <c r="J49" s="134"/>
      <c r="K49" s="134"/>
    </row>
    <row r="50" spans="1:11" ht="15" thickBot="1" x14ac:dyDescent="0.35">
      <c r="B50" s="148" t="s">
        <v>321</v>
      </c>
      <c r="C50" s="148"/>
      <c r="D50" s="148"/>
      <c r="E50" s="148"/>
      <c r="F50" s="148"/>
      <c r="G50" s="149"/>
      <c r="H50" s="149">
        <f>H48/H46</f>
        <v>1.1856874037707079</v>
      </c>
      <c r="I50" s="149">
        <f t="shared" ref="I50:K50" si="9">I48/I46</f>
        <v>0.23617588794582114</v>
      </c>
      <c r="J50" s="149">
        <f t="shared" si="9"/>
        <v>0.1860850392679308</v>
      </c>
      <c r="K50" s="149">
        <f t="shared" si="9"/>
        <v>0.35051311776641397</v>
      </c>
    </row>
    <row r="51" spans="1:11" ht="6" customHeight="1" thickTop="1" x14ac:dyDescent="0.3">
      <c r="H51" s="26"/>
      <c r="I51" s="26"/>
      <c r="J51" s="26"/>
      <c r="K51" s="26"/>
    </row>
    <row r="52" spans="1:11" x14ac:dyDescent="0.3">
      <c r="J52" s="159" t="s">
        <v>322</v>
      </c>
      <c r="K52" s="160">
        <f>AVERAGE(H50:K50)</f>
        <v>0.48961536218771845</v>
      </c>
    </row>
    <row r="53" spans="1:11" x14ac:dyDescent="0.3">
      <c r="J53" s="159" t="s">
        <v>323</v>
      </c>
      <c r="K53" s="160">
        <f>MEDIAN(H50:K50)</f>
        <v>0.29334450285611757</v>
      </c>
    </row>
    <row r="55" spans="1:11" x14ac:dyDescent="0.3">
      <c r="A55" t="s">
        <v>78</v>
      </c>
      <c r="B55" s="150" t="s">
        <v>324</v>
      </c>
      <c r="C55" s="151"/>
      <c r="D55" s="151"/>
      <c r="E55" s="151"/>
      <c r="F55" s="151"/>
      <c r="G55" s="152">
        <f>'Raw FS'!H$2</f>
        <v>44621</v>
      </c>
      <c r="H55" s="152">
        <f>'Raw FS'!I$2</f>
        <v>44986</v>
      </c>
      <c r="I55" s="152">
        <f>'Raw FS'!J$2</f>
        <v>45352</v>
      </c>
      <c r="J55" s="152">
        <f>'Raw FS'!K$2</f>
        <v>45717</v>
      </c>
      <c r="K55" s="152">
        <f>'Raw FS'!L$2</f>
        <v>46082</v>
      </c>
    </row>
    <row r="57" spans="1:11" x14ac:dyDescent="0.3">
      <c r="B57" s="134" t="s">
        <v>321</v>
      </c>
      <c r="C57" s="134"/>
      <c r="D57" s="134"/>
      <c r="E57" s="134"/>
      <c r="F57" s="134"/>
      <c r="G57" s="134"/>
      <c r="H57" s="161">
        <f>H50</f>
        <v>1.1856874037707079</v>
      </c>
      <c r="I57" s="161">
        <f t="shared" ref="I57:K57" si="10">I50</f>
        <v>0.23617588794582114</v>
      </c>
      <c r="J57" s="161">
        <f t="shared" si="10"/>
        <v>0.1860850392679308</v>
      </c>
      <c r="K57" s="161">
        <f t="shared" si="10"/>
        <v>0.35051311776641397</v>
      </c>
    </row>
    <row r="58" spans="1:11" x14ac:dyDescent="0.3">
      <c r="B58" s="134" t="s">
        <v>314</v>
      </c>
      <c r="C58" s="134"/>
      <c r="D58" s="134"/>
      <c r="E58" s="134"/>
      <c r="F58" s="134"/>
      <c r="G58" s="134"/>
      <c r="H58" s="161">
        <f>H36</f>
        <v>0.22447296532375169</v>
      </c>
      <c r="I58" s="161">
        <f t="shared" ref="I58:K58" si="11">I36</f>
        <v>0.26484543912504105</v>
      </c>
      <c r="J58" s="161">
        <f t="shared" si="11"/>
        <v>0.32553793031829281</v>
      </c>
      <c r="K58" s="161">
        <f t="shared" si="11"/>
        <v>0.30111031956035011</v>
      </c>
    </row>
    <row r="59" spans="1:11" ht="3.6" customHeight="1" x14ac:dyDescent="0.3"/>
    <row r="60" spans="1:11" s="2" customFormat="1" ht="15" thickBot="1" x14ac:dyDescent="0.35">
      <c r="B60" s="148" t="s">
        <v>325</v>
      </c>
      <c r="C60" s="148"/>
      <c r="D60" s="148"/>
      <c r="E60" s="148"/>
      <c r="F60" s="148"/>
      <c r="G60" s="149"/>
      <c r="H60" s="149">
        <f>H58*H57</f>
        <v>0.2661547674714313</v>
      </c>
      <c r="I60" s="149">
        <f t="shared" ref="I60:K60" si="12">I58*I57</f>
        <v>6.2550106753757495E-2</v>
      </c>
      <c r="J60" s="149">
        <f t="shared" si="12"/>
        <v>6.0577738546480436E-2</v>
      </c>
      <c r="K60" s="149">
        <f t="shared" si="12"/>
        <v>0.10554311690073954</v>
      </c>
    </row>
    <row r="61" spans="1:11" ht="15" thickTop="1" x14ac:dyDescent="0.3"/>
    <row r="62" spans="1:11" x14ac:dyDescent="0.3">
      <c r="J62" s="159" t="s">
        <v>322</v>
      </c>
      <c r="K62" s="160">
        <f>AVERAGE(H60:K60)</f>
        <v>0.12370643241810218</v>
      </c>
    </row>
    <row r="63" spans="1:11" x14ac:dyDescent="0.3">
      <c r="J63" s="159" t="s">
        <v>323</v>
      </c>
      <c r="K63" s="160">
        <f>MEDIAN(H60:K60)</f>
        <v>8.4046611827248513E-2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2914-3FB6-444A-976C-68FB2DD4B5B8}">
  <dimension ref="A2:I21"/>
  <sheetViews>
    <sheetView showGridLines="0" tabSelected="1" zoomScale="125" workbookViewId="0">
      <selection activeCell="H23" sqref="H23"/>
    </sheetView>
  </sheetViews>
  <sheetFormatPr defaultRowHeight="14.4" x14ac:dyDescent="0.3"/>
  <cols>
    <col min="1" max="1" width="3.77734375" customWidth="1"/>
    <col min="2" max="2" width="29.6640625" bestFit="1" customWidth="1"/>
    <col min="4" max="4" width="10.21875" bestFit="1" customWidth="1"/>
  </cols>
  <sheetData>
    <row r="2" spans="1:9" x14ac:dyDescent="0.3">
      <c r="A2" s="162" t="s">
        <v>78</v>
      </c>
      <c r="B2" s="165" t="s">
        <v>326</v>
      </c>
      <c r="C2" s="165"/>
      <c r="D2" s="163">
        <f>'Data Room'!K2</f>
        <v>46082</v>
      </c>
      <c r="E2" s="164">
        <f>D2+366</f>
        <v>46448</v>
      </c>
      <c r="F2" s="164">
        <f t="shared" ref="F2:I2" si="0">E2+366</f>
        <v>46814</v>
      </c>
      <c r="G2" s="164">
        <f t="shared" si="0"/>
        <v>47180</v>
      </c>
      <c r="H2" s="164">
        <f t="shared" si="0"/>
        <v>47546</v>
      </c>
      <c r="I2" s="164">
        <f t="shared" si="0"/>
        <v>47912</v>
      </c>
    </row>
    <row r="4" spans="1:9" x14ac:dyDescent="0.3">
      <c r="B4" t="s">
        <v>174</v>
      </c>
      <c r="D4" s="75">
        <f>HistoricalFS!L29</f>
        <v>14793.550000000001</v>
      </c>
    </row>
    <row r="6" spans="1:9" x14ac:dyDescent="0.3">
      <c r="B6" t="s">
        <v>224</v>
      </c>
      <c r="D6" s="166">
        <v>0.25</v>
      </c>
      <c r="E6" s="5">
        <f>D6</f>
        <v>0.25</v>
      </c>
      <c r="F6" s="5">
        <f t="shared" ref="F6:I6" si="1">E6</f>
        <v>0.25</v>
      </c>
      <c r="G6" s="5">
        <f t="shared" si="1"/>
        <v>0.25</v>
      </c>
      <c r="H6" s="5">
        <f t="shared" si="1"/>
        <v>0.25</v>
      </c>
      <c r="I6" s="5">
        <f t="shared" si="1"/>
        <v>0.25</v>
      </c>
    </row>
    <row r="8" spans="1:9" x14ac:dyDescent="0.3">
      <c r="B8" t="s">
        <v>327</v>
      </c>
      <c r="D8" s="75">
        <f>D4*(1-D6)</f>
        <v>11095.1625</v>
      </c>
      <c r="E8" s="75">
        <f t="shared" ref="E8:I8" si="2">E4*(1-E6)</f>
        <v>0</v>
      </c>
      <c r="F8" s="75">
        <f t="shared" si="2"/>
        <v>0</v>
      </c>
      <c r="G8" s="75">
        <f t="shared" si="2"/>
        <v>0</v>
      </c>
      <c r="H8" s="75">
        <f t="shared" si="2"/>
        <v>0</v>
      </c>
      <c r="I8" s="75">
        <f t="shared" si="2"/>
        <v>0</v>
      </c>
    </row>
    <row r="10" spans="1:9" x14ac:dyDescent="0.3">
      <c r="B10" t="s">
        <v>328</v>
      </c>
      <c r="D10" s="5">
        <f>'Data Room'!K53</f>
        <v>0.29334450285611757</v>
      </c>
      <c r="E10" s="5">
        <f>D10+(($I$10-$D$10)/4)</f>
        <v>0.29750837714208817</v>
      </c>
      <c r="F10" s="5">
        <f t="shared" ref="F10:H10" si="3">E10+(($I$10-$D$10)/4)</f>
        <v>0.30167225142805876</v>
      </c>
      <c r="G10" s="5">
        <f t="shared" si="3"/>
        <v>0.30583612571402935</v>
      </c>
      <c r="H10" s="5">
        <f t="shared" si="3"/>
        <v>0.30999999999999994</v>
      </c>
      <c r="I10" s="166">
        <v>0.31</v>
      </c>
    </row>
    <row r="12" spans="1:9" x14ac:dyDescent="0.3">
      <c r="B12" t="s">
        <v>329</v>
      </c>
      <c r="D12" s="75">
        <f>D8*(1-D10)</f>
        <v>7840.4575723296621</v>
      </c>
      <c r="E12" s="75">
        <f t="shared" ref="E12:I12" si="4">E8*(1-E10)</f>
        <v>0</v>
      </c>
      <c r="F12" s="75">
        <f t="shared" si="4"/>
        <v>0</v>
      </c>
      <c r="G12" s="75">
        <f t="shared" si="4"/>
        <v>0</v>
      </c>
      <c r="H12" s="75">
        <f t="shared" si="4"/>
        <v>0</v>
      </c>
      <c r="I12" s="75">
        <f t="shared" si="4"/>
        <v>0</v>
      </c>
    </row>
    <row r="14" spans="1:9" x14ac:dyDescent="0.3">
      <c r="B14" t="s">
        <v>330</v>
      </c>
    </row>
    <row r="15" spans="1:9" x14ac:dyDescent="0.3">
      <c r="B15" t="s">
        <v>331</v>
      </c>
      <c r="D15" s="5"/>
    </row>
    <row r="17" spans="2:9" ht="15" thickBot="1" x14ac:dyDescent="0.35">
      <c r="B17" s="168" t="s">
        <v>332</v>
      </c>
      <c r="C17" s="167"/>
      <c r="D17" s="167"/>
      <c r="E17" s="167"/>
      <c r="F17" s="167"/>
      <c r="G17" s="167"/>
      <c r="H17" s="167"/>
      <c r="I17" s="167"/>
    </row>
    <row r="19" spans="2:9" x14ac:dyDescent="0.3">
      <c r="B19" t="s">
        <v>333</v>
      </c>
    </row>
    <row r="20" spans="2:9" x14ac:dyDescent="0.3">
      <c r="B20" t="s">
        <v>334</v>
      </c>
    </row>
    <row r="21" spans="2:9" x14ac:dyDescent="0.3">
      <c r="B21" t="s">
        <v>335</v>
      </c>
      <c r="D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Profit &amp; Loss</vt:lpstr>
      <vt:lpstr>HistoricalFS</vt:lpstr>
      <vt:lpstr>Data Sheet</vt:lpstr>
      <vt:lpstr>Ratio Analysis</vt:lpstr>
      <vt:lpstr>CashFlow Data</vt:lpstr>
      <vt:lpstr>Forecast</vt:lpstr>
      <vt:lpstr>Sheet2</vt:lpstr>
      <vt:lpstr>Common Size Statement</vt:lpstr>
      <vt:lpstr>WACC</vt:lpstr>
      <vt:lpstr>Beta</vt:lpstr>
      <vt:lpstr>Raw FS</vt:lpstr>
      <vt:lpstr>Data Room</vt:lpstr>
      <vt:lpstr>DCF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sumedhkagwade</dc:creator>
  <cp:lastModifiedBy>Sumedh Kagwade</cp:lastModifiedBy>
  <cp:lastPrinted>2026-06-04T11:15:38Z</cp:lastPrinted>
  <dcterms:created xsi:type="dcterms:W3CDTF">2012-08-17T09:55:37Z</dcterms:created>
  <dcterms:modified xsi:type="dcterms:W3CDTF">2026-09-22T14:41:18Z</dcterms:modified>
</cp:coreProperties>
</file>