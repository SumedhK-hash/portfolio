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MEDH KAGWADE\Downloads\projects\"/>
    </mc:Choice>
  </mc:AlternateContent>
  <xr:revisionPtr revIDLastSave="0" documentId="8_{1F79C8DD-9CF1-4684-B1AD-FF318A361518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Profit &amp; Loss" sheetId="1" r:id="rId1"/>
    <sheet name="Financials" sheetId="7" r:id="rId2"/>
    <sheet name="HistoricalFS" sheetId="8" r:id="rId3"/>
    <sheet name="Ratio Analysis" sheetId="12" r:id="rId4"/>
    <sheet name="CashFlow Data" sheetId="11" r:id="rId5"/>
    <sheet name="Data Sheet" sheetId="6" r:id="rId6"/>
    <sheet name="Forecast" sheetId="15" r:id="rId7"/>
    <sheet name="Sheet2" sheetId="16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3" i="12" l="1"/>
  <c r="L2" i="16"/>
  <c r="G2" i="16"/>
  <c r="L5" i="16"/>
  <c r="M4" i="16"/>
  <c r="B2" i="16"/>
  <c r="G5" i="16"/>
  <c r="H4" i="16"/>
  <c r="C4" i="16"/>
  <c r="D4" i="16" a="1"/>
  <c r="B5" i="16"/>
  <c r="E14" i="15"/>
  <c r="E13" i="15"/>
  <c r="E12" i="15"/>
  <c r="E11" i="15"/>
  <c r="E10" i="15"/>
  <c r="E9" i="15"/>
  <c r="E8" i="15"/>
  <c r="E7" i="15"/>
  <c r="E6" i="15"/>
  <c r="E5" i="15"/>
  <c r="E4" i="15"/>
  <c r="C4" i="15"/>
  <c r="B4" i="15"/>
  <c r="Q25" i="8"/>
  <c r="R25" i="8"/>
  <c r="S25" i="8"/>
  <c r="T25" i="8"/>
  <c r="U25" i="8"/>
  <c r="V25" i="8"/>
  <c r="W25" i="8"/>
  <c r="X25" i="8"/>
  <c r="Y25" i="8"/>
  <c r="Z25" i="8"/>
  <c r="AA25" i="8"/>
  <c r="D119" i="8"/>
  <c r="E119" i="8"/>
  <c r="F119" i="8"/>
  <c r="G119" i="8"/>
  <c r="H119" i="8"/>
  <c r="I119" i="8"/>
  <c r="J119" i="8"/>
  <c r="K119" i="8"/>
  <c r="L119" i="8"/>
  <c r="C119" i="8"/>
  <c r="D117" i="8"/>
  <c r="E117" i="8"/>
  <c r="F117" i="8"/>
  <c r="G117" i="8"/>
  <c r="H117" i="8"/>
  <c r="I117" i="8"/>
  <c r="J117" i="8"/>
  <c r="K117" i="8"/>
  <c r="L117" i="8"/>
  <c r="C117" i="8"/>
  <c r="D115" i="8"/>
  <c r="E115" i="8"/>
  <c r="F115" i="8"/>
  <c r="G115" i="8"/>
  <c r="H115" i="8"/>
  <c r="I115" i="8"/>
  <c r="J115" i="8"/>
  <c r="K115" i="8"/>
  <c r="L115" i="8"/>
  <c r="C115" i="8"/>
  <c r="B2" i="12"/>
  <c r="L3" i="12"/>
  <c r="K3" i="12"/>
  <c r="J3" i="12"/>
  <c r="I3" i="12"/>
  <c r="H3" i="12"/>
  <c r="G3" i="12"/>
  <c r="F3" i="12"/>
  <c r="E3" i="12"/>
  <c r="D3" i="12"/>
  <c r="C3" i="12"/>
  <c r="M41" i="8"/>
  <c r="C35" i="8"/>
  <c r="M23" i="8"/>
  <c r="M9" i="8"/>
  <c r="G9" i="8"/>
  <c r="H9" i="8"/>
  <c r="I9" i="8"/>
  <c r="J9" i="8"/>
  <c r="K9" i="8"/>
  <c r="L9" i="8"/>
  <c r="D9" i="8"/>
  <c r="E9" i="8"/>
  <c r="F9" i="8"/>
  <c r="C9" i="8"/>
  <c r="M6" i="8"/>
  <c r="L108" i="8"/>
  <c r="K108" i="8"/>
  <c r="J108" i="8"/>
  <c r="I108" i="8"/>
  <c r="H108" i="8"/>
  <c r="G108" i="8"/>
  <c r="F108" i="8"/>
  <c r="E108" i="8"/>
  <c r="D108" i="8"/>
  <c r="L107" i="8"/>
  <c r="K107" i="8"/>
  <c r="J107" i="8"/>
  <c r="I107" i="8"/>
  <c r="H107" i="8"/>
  <c r="G107" i="8"/>
  <c r="F107" i="8"/>
  <c r="E107" i="8"/>
  <c r="D107" i="8"/>
  <c r="L106" i="8"/>
  <c r="K106" i="8"/>
  <c r="J106" i="8"/>
  <c r="I106" i="8"/>
  <c r="H106" i="8"/>
  <c r="G106" i="8"/>
  <c r="F106" i="8"/>
  <c r="E106" i="8"/>
  <c r="D106" i="8"/>
  <c r="L105" i="8"/>
  <c r="K105" i="8"/>
  <c r="J105" i="8"/>
  <c r="I105" i="8"/>
  <c r="H105" i="8"/>
  <c r="G105" i="8"/>
  <c r="F105" i="8"/>
  <c r="E105" i="8"/>
  <c r="D105" i="8"/>
  <c r="L104" i="8"/>
  <c r="K104" i="8"/>
  <c r="J104" i="8"/>
  <c r="I104" i="8"/>
  <c r="H104" i="8"/>
  <c r="G104" i="8"/>
  <c r="F104" i="8"/>
  <c r="E104" i="8"/>
  <c r="D104" i="8"/>
  <c r="L103" i="8"/>
  <c r="K103" i="8"/>
  <c r="J103" i="8"/>
  <c r="I103" i="8"/>
  <c r="H103" i="8"/>
  <c r="G103" i="8"/>
  <c r="F103" i="8"/>
  <c r="E103" i="8"/>
  <c r="D103" i="8"/>
  <c r="L102" i="8"/>
  <c r="K102" i="8"/>
  <c r="J102" i="8"/>
  <c r="I102" i="8"/>
  <c r="H102" i="8"/>
  <c r="G102" i="8"/>
  <c r="F102" i="8"/>
  <c r="E102" i="8"/>
  <c r="D102" i="8"/>
  <c r="L101" i="8"/>
  <c r="K101" i="8"/>
  <c r="J101" i="8"/>
  <c r="I101" i="8"/>
  <c r="H101" i="8"/>
  <c r="G101" i="8"/>
  <c r="F101" i="8"/>
  <c r="E101" i="8"/>
  <c r="D101" i="8"/>
  <c r="C102" i="8"/>
  <c r="C103" i="8"/>
  <c r="C104" i="8"/>
  <c r="C105" i="8"/>
  <c r="C106" i="8"/>
  <c r="C107" i="8"/>
  <c r="C108" i="8"/>
  <c r="C101" i="8"/>
  <c r="C88" i="8"/>
  <c r="D88" i="8"/>
  <c r="E88" i="8"/>
  <c r="F88" i="8"/>
  <c r="G88" i="8"/>
  <c r="H88" i="8"/>
  <c r="I88" i="8"/>
  <c r="J88" i="8"/>
  <c r="K88" i="8"/>
  <c r="L88" i="8"/>
  <c r="C89" i="8"/>
  <c r="D89" i="8"/>
  <c r="E89" i="8"/>
  <c r="F89" i="8"/>
  <c r="G89" i="8"/>
  <c r="H89" i="8"/>
  <c r="I89" i="8"/>
  <c r="J89" i="8"/>
  <c r="K89" i="8"/>
  <c r="L89" i="8"/>
  <c r="C90" i="8"/>
  <c r="D90" i="8"/>
  <c r="E90" i="8"/>
  <c r="F90" i="8"/>
  <c r="G90" i="8"/>
  <c r="H90" i="8"/>
  <c r="I90" i="8"/>
  <c r="J90" i="8"/>
  <c r="K90" i="8"/>
  <c r="L90" i="8"/>
  <c r="C91" i="8"/>
  <c r="D91" i="8"/>
  <c r="E91" i="8"/>
  <c r="F91" i="8"/>
  <c r="G91" i="8"/>
  <c r="H91" i="8"/>
  <c r="I91" i="8"/>
  <c r="J91" i="8"/>
  <c r="K91" i="8"/>
  <c r="L91" i="8"/>
  <c r="C92" i="8"/>
  <c r="D92" i="8"/>
  <c r="E92" i="8"/>
  <c r="F92" i="8"/>
  <c r="G92" i="8"/>
  <c r="H92" i="8"/>
  <c r="I92" i="8"/>
  <c r="J92" i="8"/>
  <c r="K92" i="8"/>
  <c r="L92" i="8"/>
  <c r="C93" i="8"/>
  <c r="D93" i="8"/>
  <c r="E93" i="8"/>
  <c r="F93" i="8"/>
  <c r="G93" i="8"/>
  <c r="H93" i="8"/>
  <c r="I93" i="8"/>
  <c r="J93" i="8"/>
  <c r="K93" i="8"/>
  <c r="L93" i="8"/>
  <c r="C94" i="8"/>
  <c r="D94" i="8"/>
  <c r="E94" i="8"/>
  <c r="F94" i="8"/>
  <c r="G94" i="8"/>
  <c r="H94" i="8"/>
  <c r="I94" i="8"/>
  <c r="J94" i="8"/>
  <c r="K94" i="8"/>
  <c r="L94" i="8"/>
  <c r="C95" i="8"/>
  <c r="D95" i="8"/>
  <c r="E95" i="8"/>
  <c r="F95" i="8"/>
  <c r="G95" i="8"/>
  <c r="H95" i="8"/>
  <c r="I95" i="8"/>
  <c r="J95" i="8"/>
  <c r="K95" i="8"/>
  <c r="L95" i="8"/>
  <c r="C96" i="8"/>
  <c r="D96" i="8"/>
  <c r="E96" i="8"/>
  <c r="F96" i="8"/>
  <c r="G96" i="8"/>
  <c r="H96" i="8"/>
  <c r="I96" i="8"/>
  <c r="J96" i="8"/>
  <c r="K96" i="8"/>
  <c r="L96" i="8"/>
  <c r="C97" i="8"/>
  <c r="D97" i="8"/>
  <c r="E97" i="8"/>
  <c r="F97" i="8"/>
  <c r="G97" i="8"/>
  <c r="H97" i="8"/>
  <c r="I97" i="8"/>
  <c r="J97" i="8"/>
  <c r="K97" i="8"/>
  <c r="L97" i="8"/>
  <c r="D87" i="8"/>
  <c r="E87" i="8"/>
  <c r="F87" i="8"/>
  <c r="G87" i="8"/>
  <c r="H87" i="8"/>
  <c r="I87" i="8"/>
  <c r="J87" i="8"/>
  <c r="K87" i="8"/>
  <c r="L87" i="8"/>
  <c r="C87" i="8"/>
  <c r="C77" i="8"/>
  <c r="D77" i="8"/>
  <c r="E77" i="8"/>
  <c r="F77" i="8"/>
  <c r="G77" i="8"/>
  <c r="H77" i="8"/>
  <c r="I77" i="8"/>
  <c r="J77" i="8"/>
  <c r="K77" i="8"/>
  <c r="L77" i="8"/>
  <c r="C78" i="8"/>
  <c r="D78" i="8"/>
  <c r="E78" i="8"/>
  <c r="F78" i="8"/>
  <c r="G78" i="8"/>
  <c r="H78" i="8"/>
  <c r="I78" i="8"/>
  <c r="J78" i="8"/>
  <c r="K78" i="8"/>
  <c r="L78" i="8"/>
  <c r="C79" i="8"/>
  <c r="D79" i="8"/>
  <c r="E79" i="8"/>
  <c r="F79" i="8"/>
  <c r="G79" i="8"/>
  <c r="H79" i="8"/>
  <c r="I79" i="8"/>
  <c r="J79" i="8"/>
  <c r="K79" i="8"/>
  <c r="L79" i="8"/>
  <c r="C80" i="8"/>
  <c r="D80" i="8"/>
  <c r="E80" i="8"/>
  <c r="F80" i="8"/>
  <c r="G80" i="8"/>
  <c r="H80" i="8"/>
  <c r="I80" i="8"/>
  <c r="J80" i="8"/>
  <c r="K80" i="8"/>
  <c r="L80" i="8"/>
  <c r="C81" i="8"/>
  <c r="D81" i="8"/>
  <c r="E81" i="8"/>
  <c r="F81" i="8"/>
  <c r="G81" i="8"/>
  <c r="H81" i="8"/>
  <c r="I81" i="8"/>
  <c r="J81" i="8"/>
  <c r="K81" i="8"/>
  <c r="L81" i="8"/>
  <c r="C82" i="8"/>
  <c r="D82" i="8"/>
  <c r="E82" i="8"/>
  <c r="F82" i="8"/>
  <c r="G82" i="8"/>
  <c r="H82" i="8"/>
  <c r="I82" i="8"/>
  <c r="J82" i="8"/>
  <c r="K82" i="8"/>
  <c r="L82" i="8"/>
  <c r="C83" i="8"/>
  <c r="D83" i="8"/>
  <c r="E83" i="8"/>
  <c r="F83" i="8"/>
  <c r="G83" i="8"/>
  <c r="H83" i="8"/>
  <c r="I83" i="8"/>
  <c r="J83" i="8"/>
  <c r="K83" i="8"/>
  <c r="L83" i="8"/>
  <c r="D76" i="8"/>
  <c r="E76" i="8"/>
  <c r="F76" i="8"/>
  <c r="G76" i="8"/>
  <c r="H76" i="8"/>
  <c r="I76" i="8"/>
  <c r="J76" i="8"/>
  <c r="K76" i="8"/>
  <c r="L76" i="8"/>
  <c r="C76" i="8"/>
  <c r="D62" i="8"/>
  <c r="E62" i="8"/>
  <c r="F62" i="8"/>
  <c r="G62" i="8"/>
  <c r="H62" i="8"/>
  <c r="I62" i="8"/>
  <c r="J62" i="8"/>
  <c r="K62" i="8"/>
  <c r="L62" i="8"/>
  <c r="C62" i="8"/>
  <c r="D65" i="8"/>
  <c r="E65" i="8"/>
  <c r="F65" i="8"/>
  <c r="G65" i="8"/>
  <c r="H65" i="8"/>
  <c r="I65" i="8"/>
  <c r="J65" i="8"/>
  <c r="K65" i="8"/>
  <c r="L65" i="8"/>
  <c r="D66" i="8"/>
  <c r="E66" i="8"/>
  <c r="F66" i="8"/>
  <c r="G66" i="8"/>
  <c r="H66" i="8"/>
  <c r="I66" i="8"/>
  <c r="J66" i="8"/>
  <c r="K66" i="8"/>
  <c r="L66" i="8"/>
  <c r="D67" i="8"/>
  <c r="E67" i="8"/>
  <c r="F67" i="8"/>
  <c r="G67" i="8"/>
  <c r="H67" i="8"/>
  <c r="I67" i="8"/>
  <c r="J67" i="8"/>
  <c r="K67" i="8"/>
  <c r="L67" i="8"/>
  <c r="C66" i="8"/>
  <c r="C67" i="8"/>
  <c r="C65" i="8"/>
  <c r="D59" i="8"/>
  <c r="E59" i="8"/>
  <c r="F59" i="8"/>
  <c r="G59" i="8"/>
  <c r="H59" i="8"/>
  <c r="I59" i="8"/>
  <c r="J59" i="8"/>
  <c r="K59" i="8"/>
  <c r="L59" i="8"/>
  <c r="D60" i="8"/>
  <c r="E60" i="8"/>
  <c r="F60" i="8"/>
  <c r="G60" i="8"/>
  <c r="H60" i="8"/>
  <c r="I60" i="8"/>
  <c r="J60" i="8"/>
  <c r="K60" i="8"/>
  <c r="L60" i="8"/>
  <c r="D61" i="8"/>
  <c r="E61" i="8"/>
  <c r="F61" i="8"/>
  <c r="G61" i="8"/>
  <c r="H61" i="8"/>
  <c r="I61" i="8"/>
  <c r="J61" i="8"/>
  <c r="K61" i="8"/>
  <c r="L61" i="8"/>
  <c r="C60" i="8"/>
  <c r="C61" i="8"/>
  <c r="C59" i="8"/>
  <c r="C57" i="8"/>
  <c r="D57" i="8"/>
  <c r="E57" i="8"/>
  <c r="F57" i="8"/>
  <c r="G57" i="8"/>
  <c r="H57" i="8"/>
  <c r="I57" i="8"/>
  <c r="J57" i="8"/>
  <c r="K57" i="8"/>
  <c r="L57" i="8"/>
  <c r="C54" i="8"/>
  <c r="D54" i="8"/>
  <c r="E54" i="8"/>
  <c r="F54" i="8"/>
  <c r="G54" i="8"/>
  <c r="H54" i="8"/>
  <c r="I54" i="8"/>
  <c r="J54" i="8"/>
  <c r="K54" i="8"/>
  <c r="L54" i="8"/>
  <c r="C55" i="8"/>
  <c r="D55" i="8"/>
  <c r="E55" i="8"/>
  <c r="F55" i="8"/>
  <c r="G55" i="8"/>
  <c r="H55" i="8"/>
  <c r="I55" i="8"/>
  <c r="J55" i="8"/>
  <c r="K55" i="8"/>
  <c r="L55" i="8"/>
  <c r="C56" i="8"/>
  <c r="D56" i="8"/>
  <c r="E56" i="8"/>
  <c r="F56" i="8"/>
  <c r="G56" i="8"/>
  <c r="H56" i="8"/>
  <c r="I56" i="8"/>
  <c r="J56" i="8"/>
  <c r="K56" i="8"/>
  <c r="L56" i="8"/>
  <c r="D53" i="8"/>
  <c r="E53" i="8"/>
  <c r="F53" i="8"/>
  <c r="G53" i="8"/>
  <c r="H53" i="8"/>
  <c r="I53" i="8"/>
  <c r="J53" i="8"/>
  <c r="K53" i="8"/>
  <c r="L53" i="8"/>
  <c r="C53" i="8"/>
  <c r="D41" i="8"/>
  <c r="E41" i="8"/>
  <c r="F41" i="8"/>
  <c r="G41" i="8"/>
  <c r="H41" i="8"/>
  <c r="I41" i="8"/>
  <c r="J41" i="8"/>
  <c r="K41" i="8"/>
  <c r="L41" i="8"/>
  <c r="C41" i="8"/>
  <c r="M35" i="8"/>
  <c r="D35" i="8"/>
  <c r="E35" i="8"/>
  <c r="F35" i="8"/>
  <c r="G35" i="8"/>
  <c r="H35" i="8"/>
  <c r="I35" i="8"/>
  <c r="J35" i="8"/>
  <c r="K35" i="8"/>
  <c r="L35" i="8"/>
  <c r="C26" i="8"/>
  <c r="K6" i="8"/>
  <c r="L6" i="8"/>
  <c r="B2" i="8"/>
  <c r="C6" i="8"/>
  <c r="D6" i="8"/>
  <c r="E6" i="8"/>
  <c r="F6" i="8"/>
  <c r="G6" i="8"/>
  <c r="H6" i="8"/>
  <c r="I6" i="8"/>
  <c r="J6" i="8"/>
  <c r="E7" i="8"/>
  <c r="F7" i="8"/>
  <c r="G7" i="8"/>
  <c r="H7" i="8"/>
  <c r="I7" i="8"/>
  <c r="J7" i="8"/>
  <c r="K7" i="8"/>
  <c r="L7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I16" i="8"/>
  <c r="J16" i="8"/>
  <c r="K16" i="8"/>
  <c r="C23" i="8"/>
  <c r="D23" i="8"/>
  <c r="E23" i="8"/>
  <c r="F23" i="8"/>
  <c r="G23" i="8"/>
  <c r="H23" i="8"/>
  <c r="I23" i="8"/>
  <c r="J23" i="8"/>
  <c r="K23" i="8"/>
  <c r="L23" i="8"/>
  <c r="D26" i="8"/>
  <c r="E26" i="8"/>
  <c r="F26" i="8"/>
  <c r="G26" i="8"/>
  <c r="H26" i="8"/>
  <c r="I26" i="8"/>
  <c r="J26" i="8"/>
  <c r="K26" i="8"/>
  <c r="L26" i="8"/>
  <c r="D3" i="8"/>
  <c r="E3" i="8"/>
  <c r="F3" i="8"/>
  <c r="G3" i="8"/>
  <c r="H3" i="8"/>
  <c r="I3" i="8"/>
  <c r="J3" i="8"/>
  <c r="K3" i="8"/>
  <c r="L3" i="8"/>
  <c r="C3" i="8"/>
  <c r="C5" i="1"/>
  <c r="D5" i="1"/>
  <c r="E5" i="1"/>
  <c r="F5" i="1"/>
  <c r="G5" i="1"/>
  <c r="H5" i="1"/>
  <c r="I5" i="1"/>
  <c r="J5" i="1"/>
  <c r="K5" i="1"/>
  <c r="B5" i="1"/>
  <c r="B6" i="6"/>
  <c r="L7" i="1"/>
  <c r="L9" i="1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H1" i="1"/>
  <c r="I6" i="1"/>
  <c r="I19" i="1" s="1"/>
  <c r="J6" i="1"/>
  <c r="J19" i="1"/>
  <c r="K6" i="1"/>
  <c r="G6" i="1"/>
  <c r="G19" i="1" s="1"/>
  <c r="D6" i="1"/>
  <c r="D19" i="1"/>
  <c r="B6" i="1"/>
  <c r="B19" i="1" s="1"/>
  <c r="C3" i="1"/>
  <c r="D3" i="1"/>
  <c r="E3" i="1"/>
  <c r="F3" i="1"/>
  <c r="G3" i="1"/>
  <c r="H3" i="1"/>
  <c r="I3" i="1"/>
  <c r="J3" i="1"/>
  <c r="K3" i="1"/>
  <c r="L15" i="1"/>
  <c r="B12" i="1"/>
  <c r="B11" i="1"/>
  <c r="B10" i="1"/>
  <c r="B9" i="1"/>
  <c r="B8" i="1"/>
  <c r="B3" i="1"/>
  <c r="L12" i="1"/>
  <c r="L11" i="1"/>
  <c r="L10" i="1"/>
  <c r="N11" i="1" s="1"/>
  <c r="L6" i="1"/>
  <c r="L4" i="1"/>
  <c r="H23" i="1"/>
  <c r="I23" i="1"/>
  <c r="J23" i="1"/>
  <c r="L5" i="1"/>
  <c r="M11" i="1"/>
  <c r="C5" i="16" l="1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D39" i="12"/>
  <c r="E39" i="12"/>
  <c r="F39" i="12"/>
  <c r="G39" i="12"/>
  <c r="H39" i="12"/>
  <c r="I39" i="12"/>
  <c r="J39" i="12"/>
  <c r="K39" i="12"/>
  <c r="L39" i="12"/>
  <c r="B13" i="1"/>
  <c r="D41" i="12"/>
  <c r="E41" i="12"/>
  <c r="F41" i="12"/>
  <c r="G41" i="12"/>
  <c r="H41" i="12"/>
  <c r="I41" i="12"/>
  <c r="J41" i="12"/>
  <c r="K41" i="12"/>
  <c r="L41" i="12"/>
  <c r="C41" i="12"/>
  <c r="N41" i="12" s="1"/>
  <c r="C39" i="12"/>
  <c r="N39" i="12" s="1"/>
  <c r="D27" i="12"/>
  <c r="E27" i="12"/>
  <c r="F27" i="12"/>
  <c r="G27" i="12"/>
  <c r="H27" i="12"/>
  <c r="I27" i="12"/>
  <c r="J27" i="12"/>
  <c r="K27" i="12"/>
  <c r="L27" i="12"/>
  <c r="D28" i="12"/>
  <c r="E28" i="12"/>
  <c r="F28" i="12"/>
  <c r="G28" i="12"/>
  <c r="H28" i="12"/>
  <c r="I28" i="12"/>
  <c r="J28" i="12"/>
  <c r="K28" i="12"/>
  <c r="L28" i="12"/>
  <c r="D29" i="12"/>
  <c r="E29" i="12"/>
  <c r="F29" i="12"/>
  <c r="G29" i="12"/>
  <c r="H29" i="12"/>
  <c r="I29" i="12"/>
  <c r="J29" i="12"/>
  <c r="K29" i="12"/>
  <c r="L29" i="12"/>
  <c r="D30" i="12"/>
  <c r="E30" i="12"/>
  <c r="F30" i="12"/>
  <c r="G30" i="12"/>
  <c r="H30" i="12"/>
  <c r="I30" i="12"/>
  <c r="J30" i="12"/>
  <c r="K30" i="12"/>
  <c r="L30" i="12"/>
  <c r="D31" i="12"/>
  <c r="E31" i="12"/>
  <c r="F31" i="12"/>
  <c r="G31" i="12"/>
  <c r="H31" i="12"/>
  <c r="I31" i="12"/>
  <c r="J31" i="12"/>
  <c r="K31" i="12"/>
  <c r="L31" i="12"/>
  <c r="C31" i="12"/>
  <c r="N31" i="12" s="1"/>
  <c r="C30" i="12"/>
  <c r="N30" i="12" s="1"/>
  <c r="C28" i="12"/>
  <c r="N28" i="12" s="1"/>
  <c r="C27" i="12"/>
  <c r="N27" i="12" s="1"/>
  <c r="C29" i="12"/>
  <c r="N29" i="12" s="1"/>
  <c r="E5" i="12"/>
  <c r="F5" i="12"/>
  <c r="G5" i="12"/>
  <c r="H5" i="12"/>
  <c r="I5" i="12"/>
  <c r="J5" i="12"/>
  <c r="K5" i="12"/>
  <c r="L5" i="12"/>
  <c r="K17" i="12"/>
  <c r="J17" i="12"/>
  <c r="I17" i="12"/>
  <c r="G17" i="12"/>
  <c r="F17" i="12"/>
  <c r="E17" i="12"/>
  <c r="D17" i="12"/>
  <c r="C17" i="12"/>
  <c r="K19" i="1"/>
  <c r="L6" i="16"/>
  <c r="L7" i="16" s="1"/>
  <c r="L8" i="16" s="1"/>
  <c r="L9" i="16" s="1"/>
  <c r="L10" i="16" s="1"/>
  <c r="L11" i="16" s="1"/>
  <c r="L12" i="16" s="1"/>
  <c r="L13" i="16" s="1"/>
  <c r="L14" i="16" s="1"/>
  <c r="M5" i="16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G6" i="16"/>
  <c r="G7" i="16" s="1"/>
  <c r="G8" i="16" s="1"/>
  <c r="G9" i="16" s="1"/>
  <c r="G10" i="16" s="1"/>
  <c r="G11" i="16" s="1"/>
  <c r="G12" i="16" s="1"/>
  <c r="G13" i="16" s="1"/>
  <c r="G14" i="16" s="1"/>
  <c r="H5" i="16"/>
  <c r="H6" i="16" s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D4" i="16"/>
  <c r="D5" i="16"/>
  <c r="E5" i="16" s="1"/>
  <c r="D6" i="16"/>
  <c r="E6" i="16" s="1"/>
  <c r="D7" i="16"/>
  <c r="E7" i="16" s="1"/>
  <c r="D8" i="16"/>
  <c r="E8" i="16" s="1"/>
  <c r="D9" i="16"/>
  <c r="E9" i="16" s="1"/>
  <c r="D10" i="16"/>
  <c r="E10" i="16" s="1"/>
  <c r="D11" i="16"/>
  <c r="E11" i="16" s="1"/>
  <c r="D12" i="16"/>
  <c r="E12" i="16" s="1"/>
  <c r="D13" i="16"/>
  <c r="E13" i="16" s="1"/>
  <c r="B6" i="16"/>
  <c r="B7" i="16" s="1"/>
  <c r="B8" i="16" s="1"/>
  <c r="B9" i="16" s="1"/>
  <c r="B10" i="16" s="1"/>
  <c r="B11" i="16" s="1"/>
  <c r="B12" i="16" s="1"/>
  <c r="B13" i="16" s="1"/>
  <c r="B14" i="16" s="1"/>
  <c r="B5" i="15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C5" i="15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D34" i="12"/>
  <c r="O34" i="12" s="1"/>
  <c r="E34" i="12"/>
  <c r="F34" i="12"/>
  <c r="G34" i="12"/>
  <c r="H34" i="12"/>
  <c r="I34" i="12"/>
  <c r="J34" i="12"/>
  <c r="K34" i="12"/>
  <c r="L34" i="12"/>
  <c r="D35" i="12"/>
  <c r="O35" i="12" s="1"/>
  <c r="E35" i="12"/>
  <c r="F35" i="12"/>
  <c r="G35" i="12"/>
  <c r="H35" i="12"/>
  <c r="I35" i="12"/>
  <c r="J35" i="12"/>
  <c r="K35" i="12"/>
  <c r="L35" i="12"/>
  <c r="D36" i="12"/>
  <c r="E36" i="12"/>
  <c r="E37" i="12" s="1"/>
  <c r="F36" i="12"/>
  <c r="F37" i="12" s="1"/>
  <c r="G36" i="12"/>
  <c r="G37" i="12" s="1"/>
  <c r="H36" i="12"/>
  <c r="H37" i="12" s="1"/>
  <c r="I36" i="12"/>
  <c r="I37" i="12" s="1"/>
  <c r="J36" i="12"/>
  <c r="J37" i="12" s="1"/>
  <c r="K36" i="12"/>
  <c r="K37" i="12" s="1"/>
  <c r="L36" i="12"/>
  <c r="L37" i="12" s="1"/>
  <c r="C34" i="12"/>
  <c r="N34" i="12" s="1"/>
  <c r="C36" i="12"/>
  <c r="N36" i="12" s="1"/>
  <c r="C35" i="12"/>
  <c r="N35" i="12" s="1"/>
  <c r="D121" i="8"/>
  <c r="E121" i="8"/>
  <c r="F121" i="8"/>
  <c r="G121" i="8"/>
  <c r="H121" i="8"/>
  <c r="I121" i="8"/>
  <c r="J121" i="8"/>
  <c r="K121" i="8"/>
  <c r="L121" i="8"/>
  <c r="C121" i="8"/>
  <c r="D10" i="8"/>
  <c r="E10" i="8"/>
  <c r="F10" i="8"/>
  <c r="G10" i="8"/>
  <c r="H10" i="8"/>
  <c r="I10" i="8"/>
  <c r="J10" i="8"/>
  <c r="K10" i="8"/>
  <c r="L10" i="8"/>
  <c r="C10" i="8"/>
  <c r="D7" i="8"/>
  <c r="D5" i="12" s="1"/>
  <c r="D109" i="8"/>
  <c r="E109" i="8"/>
  <c r="F109" i="8"/>
  <c r="G109" i="8"/>
  <c r="H109" i="8"/>
  <c r="I109" i="8"/>
  <c r="J109" i="8"/>
  <c r="K109" i="8"/>
  <c r="L109" i="8"/>
  <c r="C109" i="8"/>
  <c r="D98" i="8"/>
  <c r="E98" i="8"/>
  <c r="F98" i="8"/>
  <c r="G98" i="8"/>
  <c r="H98" i="8"/>
  <c r="I98" i="8"/>
  <c r="J98" i="8"/>
  <c r="K98" i="8"/>
  <c r="L98" i="8"/>
  <c r="C98" i="8"/>
  <c r="D84" i="8"/>
  <c r="D111" i="8" s="1"/>
  <c r="E84" i="8"/>
  <c r="E111" i="8" s="1"/>
  <c r="F84" i="8"/>
  <c r="F111" i="8" s="1"/>
  <c r="G84" i="8"/>
  <c r="H84" i="8"/>
  <c r="I84" i="8"/>
  <c r="J84" i="8"/>
  <c r="K84" i="8"/>
  <c r="L84" i="8"/>
  <c r="C84" i="8"/>
  <c r="D68" i="8"/>
  <c r="E68" i="8"/>
  <c r="F68" i="8"/>
  <c r="G68" i="8"/>
  <c r="H68" i="8"/>
  <c r="I68" i="8"/>
  <c r="J68" i="8"/>
  <c r="K68" i="8"/>
  <c r="L68" i="8"/>
  <c r="D63" i="8"/>
  <c r="E63" i="8"/>
  <c r="F63" i="8"/>
  <c r="G63" i="8"/>
  <c r="H63" i="8"/>
  <c r="I63" i="8"/>
  <c r="J63" i="8"/>
  <c r="K63" i="8"/>
  <c r="L63" i="8"/>
  <c r="C63" i="8"/>
  <c r="C68" i="8"/>
  <c r="C70" i="8" s="1"/>
  <c r="C72" i="8" s="1"/>
  <c r="M10" i="8"/>
  <c r="K12" i="8"/>
  <c r="K18" i="8" s="1"/>
  <c r="D12" i="8"/>
  <c r="D18" i="8" s="1"/>
  <c r="E12" i="8"/>
  <c r="E18" i="8" s="1"/>
  <c r="F12" i="8"/>
  <c r="F18" i="8" s="1"/>
  <c r="G12" i="8"/>
  <c r="G18" i="8" s="1"/>
  <c r="H12" i="8"/>
  <c r="H18" i="8" s="1"/>
  <c r="I12" i="8"/>
  <c r="I18" i="8" s="1"/>
  <c r="J12" i="8"/>
  <c r="J18" i="8" s="1"/>
  <c r="C46" i="8"/>
  <c r="D46" i="8"/>
  <c r="D9" i="12" s="1"/>
  <c r="E46" i="8"/>
  <c r="E9" i="12" s="1"/>
  <c r="F46" i="8"/>
  <c r="F9" i="12" s="1"/>
  <c r="G46" i="8"/>
  <c r="G9" i="12" s="1"/>
  <c r="H46" i="8"/>
  <c r="H9" i="12" s="1"/>
  <c r="I46" i="8"/>
  <c r="I9" i="12" s="1"/>
  <c r="J46" i="8"/>
  <c r="J9" i="12" s="1"/>
  <c r="K46" i="8"/>
  <c r="K9" i="12" s="1"/>
  <c r="L46" i="8"/>
  <c r="L9" i="12" s="1"/>
  <c r="M46" i="8"/>
  <c r="D13" i="8"/>
  <c r="D11" i="12" s="1"/>
  <c r="O11" i="12" s="1"/>
  <c r="F13" i="8"/>
  <c r="F11" i="12" s="1"/>
  <c r="H13" i="8"/>
  <c r="H11" i="12" s="1"/>
  <c r="K13" i="8"/>
  <c r="K11" i="12" s="1"/>
  <c r="C12" i="8"/>
  <c r="E13" i="8"/>
  <c r="E11" i="12" s="1"/>
  <c r="G13" i="8"/>
  <c r="G11" i="12" s="1"/>
  <c r="I13" i="8"/>
  <c r="I11" i="12" s="1"/>
  <c r="J13" i="8"/>
  <c r="J11" i="12" s="1"/>
  <c r="M12" i="8"/>
  <c r="M18" i="8" s="1"/>
  <c r="L16" i="8"/>
  <c r="L17" i="12" s="1"/>
  <c r="H16" i="8"/>
  <c r="H17" i="12" s="1"/>
  <c r="L24" i="8"/>
  <c r="M7" i="8"/>
  <c r="M27" i="8"/>
  <c r="D27" i="8"/>
  <c r="D18" i="12" s="1"/>
  <c r="E27" i="8"/>
  <c r="E18" i="12" s="1"/>
  <c r="F27" i="8"/>
  <c r="F18" i="12" s="1"/>
  <c r="G27" i="8"/>
  <c r="G18" i="12" s="1"/>
  <c r="H27" i="8"/>
  <c r="H18" i="12" s="1"/>
  <c r="I27" i="8"/>
  <c r="I18" i="12" s="1"/>
  <c r="J27" i="8"/>
  <c r="J18" i="12" s="1"/>
  <c r="K27" i="8"/>
  <c r="K18" i="12" s="1"/>
  <c r="L27" i="8"/>
  <c r="L18" i="12" s="1"/>
  <c r="C27" i="8"/>
  <c r="C18" i="12" s="1"/>
  <c r="N18" i="12" s="1"/>
  <c r="G19" i="8"/>
  <c r="G12" i="12" s="1"/>
  <c r="H19" i="8"/>
  <c r="H12" i="12" s="1"/>
  <c r="I19" i="8"/>
  <c r="I12" i="12" s="1"/>
  <c r="J19" i="8"/>
  <c r="J12" i="12" s="1"/>
  <c r="K19" i="8"/>
  <c r="K12" i="12" s="1"/>
  <c r="D24" i="8"/>
  <c r="E24" i="8"/>
  <c r="F24" i="8"/>
  <c r="G24" i="8"/>
  <c r="H24" i="8"/>
  <c r="I24" i="8"/>
  <c r="J24" i="8"/>
  <c r="K24" i="8"/>
  <c r="L12" i="8"/>
  <c r="L13" i="8" s="1"/>
  <c r="L11" i="12" s="1"/>
  <c r="C24" i="8"/>
  <c r="B14" i="1"/>
  <c r="H13" i="1"/>
  <c r="H14" i="1" s="1"/>
  <c r="I13" i="1"/>
  <c r="I14" i="1" s="1"/>
  <c r="K25" i="1" s="1"/>
  <c r="M25" i="1" s="1"/>
  <c r="M14" i="1" s="1"/>
  <c r="L13" i="1"/>
  <c r="L14" i="1" s="1"/>
  <c r="L25" i="1" s="1"/>
  <c r="L23" i="1"/>
  <c r="D13" i="1"/>
  <c r="K13" i="1"/>
  <c r="K14" i="1" s="1"/>
  <c r="C13" i="1"/>
  <c r="C14" i="1" s="1"/>
  <c r="F13" i="1"/>
  <c r="F14" i="1" s="1"/>
  <c r="G13" i="1"/>
  <c r="G14" i="1" s="1"/>
  <c r="J13" i="1"/>
  <c r="J14" i="1" s="1"/>
  <c r="L8" i="1"/>
  <c r="K24" i="1"/>
  <c r="E6" i="1"/>
  <c r="E19" i="1" s="1"/>
  <c r="C6" i="1"/>
  <c r="C19" i="1" s="1"/>
  <c r="L19" i="1"/>
  <c r="L24" i="1" s="1"/>
  <c r="J25" i="1"/>
  <c r="M24" i="1"/>
  <c r="M9" i="1"/>
  <c r="N9" i="1"/>
  <c r="K23" i="1"/>
  <c r="H6" i="1"/>
  <c r="H19" i="1" s="1"/>
  <c r="F6" i="1"/>
  <c r="F19" i="1" s="1"/>
  <c r="O39" i="12" l="1"/>
  <c r="O41" i="12"/>
  <c r="C40" i="12"/>
  <c r="O27" i="12"/>
  <c r="O28" i="12"/>
  <c r="O29" i="12"/>
  <c r="O30" i="12"/>
  <c r="O31" i="12"/>
  <c r="B15" i="16"/>
  <c r="D14" i="16"/>
  <c r="E14" i="16" s="1"/>
  <c r="D15" i="15"/>
  <c r="E15" i="15" s="1"/>
  <c r="B16" i="15"/>
  <c r="D37" i="12"/>
  <c r="O37" i="12" s="1"/>
  <c r="O36" i="12"/>
  <c r="N5" i="12"/>
  <c r="O5" i="12"/>
  <c r="K29" i="8"/>
  <c r="K32" i="8"/>
  <c r="K25" i="12"/>
  <c r="K6" i="12"/>
  <c r="D29" i="8"/>
  <c r="D25" i="12"/>
  <c r="D32" i="8"/>
  <c r="E6" i="12"/>
  <c r="E25" i="12"/>
  <c r="E29" i="8"/>
  <c r="E32" i="8"/>
  <c r="F25" i="12"/>
  <c r="F6" i="12"/>
  <c r="F29" i="8"/>
  <c r="F32" i="8"/>
  <c r="G25" i="12"/>
  <c r="G6" i="12"/>
  <c r="G29" i="8"/>
  <c r="G32" i="8"/>
  <c r="H25" i="12"/>
  <c r="H6" i="12"/>
  <c r="H32" i="8"/>
  <c r="H29" i="8"/>
  <c r="I25" i="12"/>
  <c r="I32" i="8"/>
  <c r="I29" i="8"/>
  <c r="I6" i="12"/>
  <c r="J25" i="12"/>
  <c r="J6" i="12"/>
  <c r="J32" i="8"/>
  <c r="J29" i="8"/>
  <c r="N9" i="12"/>
  <c r="O9" i="12"/>
  <c r="M32" i="8"/>
  <c r="M38" i="8" s="1"/>
  <c r="M43" i="8" s="1"/>
  <c r="M29" i="8"/>
  <c r="M30" i="8" s="1"/>
  <c r="O17" i="12"/>
  <c r="N17" i="12"/>
  <c r="O18" i="12"/>
  <c r="L15" i="16"/>
  <c r="G15" i="16"/>
  <c r="C37" i="12"/>
  <c r="N37" i="12" s="1"/>
  <c r="G111" i="8"/>
  <c r="K13" i="12"/>
  <c r="K19" i="12" s="1"/>
  <c r="D13" i="12"/>
  <c r="E13" i="12"/>
  <c r="E19" i="12" s="1"/>
  <c r="F13" i="12"/>
  <c r="F19" i="12" s="1"/>
  <c r="G13" i="12"/>
  <c r="G19" i="12" s="1"/>
  <c r="H13" i="12"/>
  <c r="H19" i="12" s="1"/>
  <c r="I13" i="12"/>
  <c r="I19" i="12" s="1"/>
  <c r="J13" i="12"/>
  <c r="J19" i="12" s="1"/>
  <c r="M19" i="8"/>
  <c r="H111" i="8"/>
  <c r="I111" i="8"/>
  <c r="J111" i="8"/>
  <c r="K111" i="8"/>
  <c r="L111" i="8"/>
  <c r="C111" i="8"/>
  <c r="D70" i="8"/>
  <c r="E70" i="8"/>
  <c r="F70" i="8"/>
  <c r="G70" i="8"/>
  <c r="H70" i="8"/>
  <c r="I70" i="8"/>
  <c r="J70" i="8"/>
  <c r="K70" i="8"/>
  <c r="L70" i="8"/>
  <c r="M24" i="8"/>
  <c r="E19" i="8"/>
  <c r="E12" i="12" s="1"/>
  <c r="D19" i="8"/>
  <c r="D12" i="12" s="1"/>
  <c r="F19" i="8"/>
  <c r="F12" i="12" s="1"/>
  <c r="L18" i="8"/>
  <c r="C13" i="8"/>
  <c r="C11" i="12" s="1"/>
  <c r="N11" i="12" s="1"/>
  <c r="C18" i="8"/>
  <c r="M13" i="8"/>
  <c r="N8" i="1"/>
  <c r="M8" i="1"/>
  <c r="N23" i="1"/>
  <c r="N4" i="1" s="1"/>
  <c r="D14" i="1"/>
  <c r="H25" i="1" s="1"/>
  <c r="N25" i="1" s="1"/>
  <c r="N14" i="1" s="1"/>
  <c r="E13" i="1"/>
  <c r="E14" i="1" s="1"/>
  <c r="I25" i="1" s="1"/>
  <c r="I24" i="1"/>
  <c r="H24" i="1"/>
  <c r="J24" i="1"/>
  <c r="N24" i="1" s="1"/>
  <c r="M23" i="1"/>
  <c r="M4" i="1" s="1"/>
  <c r="D15" i="16" l="1"/>
  <c r="E15" i="16" s="1"/>
  <c r="B16" i="16"/>
  <c r="B17" i="15"/>
  <c r="D16" i="15"/>
  <c r="E16" i="15" s="1"/>
  <c r="K21" i="12"/>
  <c r="K30" i="8"/>
  <c r="K38" i="8"/>
  <c r="K7" i="12"/>
  <c r="D21" i="12"/>
  <c r="D30" i="8"/>
  <c r="D38" i="8"/>
  <c r="D7" i="12"/>
  <c r="E21" i="12"/>
  <c r="E30" i="8"/>
  <c r="E38" i="8"/>
  <c r="E7" i="12"/>
  <c r="F21" i="12"/>
  <c r="F30" i="8"/>
  <c r="F38" i="8"/>
  <c r="F7" i="12"/>
  <c r="G21" i="12"/>
  <c r="G30" i="8"/>
  <c r="G38" i="8"/>
  <c r="G7" i="12"/>
  <c r="H38" i="8"/>
  <c r="H7" i="12"/>
  <c r="H21" i="12"/>
  <c r="H30" i="8"/>
  <c r="I38" i="8"/>
  <c r="I7" i="12"/>
  <c r="I21" i="12"/>
  <c r="I30" i="8"/>
  <c r="J38" i="8"/>
  <c r="J7" i="12"/>
  <c r="J21" i="12"/>
  <c r="J30" i="8"/>
  <c r="D6" i="12"/>
  <c r="D19" i="12"/>
  <c r="O19" i="12" s="1"/>
  <c r="O13" i="12"/>
  <c r="D72" i="8"/>
  <c r="D40" i="12"/>
  <c r="E72" i="8"/>
  <c r="E40" i="12"/>
  <c r="F72" i="8"/>
  <c r="F40" i="12"/>
  <c r="G72" i="8"/>
  <c r="G40" i="12"/>
  <c r="H72" i="8"/>
  <c r="H40" i="12"/>
  <c r="I72" i="8"/>
  <c r="I40" i="12"/>
  <c r="J72" i="8"/>
  <c r="J40" i="12"/>
  <c r="K72" i="8"/>
  <c r="K40" i="12"/>
  <c r="L72" i="8"/>
  <c r="L40" i="12"/>
  <c r="L25" i="12"/>
  <c r="L6" i="12"/>
  <c r="L32" i="8"/>
  <c r="L29" i="8"/>
  <c r="I4" i="16" a="1"/>
  <c r="C25" i="12"/>
  <c r="C32" i="8"/>
  <c r="C38" i="8" s="1"/>
  <c r="C23" i="12" s="1"/>
  <c r="C29" i="8"/>
  <c r="L16" i="16"/>
  <c r="G16" i="16"/>
  <c r="I36" i="8"/>
  <c r="H36" i="8"/>
  <c r="F36" i="8"/>
  <c r="D36" i="8"/>
  <c r="K36" i="8"/>
  <c r="G36" i="8"/>
  <c r="K33" i="8"/>
  <c r="K14" i="12" s="1"/>
  <c r="D33" i="8"/>
  <c r="D14" i="12" s="1"/>
  <c r="E33" i="8"/>
  <c r="E14" i="12" s="1"/>
  <c r="F33" i="8"/>
  <c r="F14" i="12" s="1"/>
  <c r="G33" i="8"/>
  <c r="G14" i="12" s="1"/>
  <c r="H33" i="8"/>
  <c r="H14" i="12" s="1"/>
  <c r="I33" i="8"/>
  <c r="I14" i="12" s="1"/>
  <c r="J36" i="8"/>
  <c r="J33" i="8"/>
  <c r="J14" i="12" s="1"/>
  <c r="M33" i="8"/>
  <c r="L13" i="12"/>
  <c r="L19" i="12" s="1"/>
  <c r="C13" i="12"/>
  <c r="C33" i="8"/>
  <c r="C14" i="12" s="1"/>
  <c r="E36" i="8"/>
  <c r="L19" i="8"/>
  <c r="L12" i="12" s="1"/>
  <c r="O12" i="12" s="1"/>
  <c r="C19" i="8"/>
  <c r="C12" i="12" s="1"/>
  <c r="N12" i="12" s="1"/>
  <c r="N6" i="1"/>
  <c r="M6" i="1"/>
  <c r="M10" i="1" s="1"/>
  <c r="M12" i="1" s="1"/>
  <c r="M13" i="1" s="1"/>
  <c r="M15" i="1" s="1"/>
  <c r="D16" i="16" l="1"/>
  <c r="E16" i="16" s="1"/>
  <c r="B17" i="16"/>
  <c r="D17" i="15"/>
  <c r="E17" i="15" s="1"/>
  <c r="B18" i="15"/>
  <c r="K43" i="8"/>
  <c r="K23" i="12"/>
  <c r="K8" i="12"/>
  <c r="D43" i="8"/>
  <c r="D23" i="12"/>
  <c r="D8" i="12"/>
  <c r="E43" i="8"/>
  <c r="E23" i="12"/>
  <c r="E8" i="12"/>
  <c r="F43" i="8"/>
  <c r="F23" i="12"/>
  <c r="F8" i="12"/>
  <c r="G43" i="8"/>
  <c r="G23" i="12"/>
  <c r="G8" i="12"/>
  <c r="H43" i="8"/>
  <c r="H23" i="12"/>
  <c r="H8" i="12"/>
  <c r="I43" i="8"/>
  <c r="I23" i="12"/>
  <c r="I8" i="12"/>
  <c r="J43" i="8"/>
  <c r="J23" i="12"/>
  <c r="J8" i="12"/>
  <c r="O6" i="12"/>
  <c r="N6" i="12"/>
  <c r="N40" i="12"/>
  <c r="O40" i="12"/>
  <c r="L38" i="8"/>
  <c r="L7" i="12"/>
  <c r="L21" i="12"/>
  <c r="L30" i="8"/>
  <c r="I13" i="16"/>
  <c r="I12" i="16"/>
  <c r="I11" i="16"/>
  <c r="I10" i="16"/>
  <c r="I9" i="16"/>
  <c r="I8" i="16"/>
  <c r="I7" i="16"/>
  <c r="I6" i="16"/>
  <c r="I5" i="16"/>
  <c r="J5" i="16" s="1"/>
  <c r="I4" i="16"/>
  <c r="C30" i="8"/>
  <c r="C21" i="12"/>
  <c r="N25" i="12"/>
  <c r="E39" i="8"/>
  <c r="E15" i="12" s="1"/>
  <c r="H39" i="8"/>
  <c r="H15" i="12" s="1"/>
  <c r="D39" i="8"/>
  <c r="D15" i="12" s="1"/>
  <c r="G39" i="8"/>
  <c r="G15" i="12" s="1"/>
  <c r="I39" i="8"/>
  <c r="I15" i="12" s="1"/>
  <c r="K39" i="8"/>
  <c r="K15" i="12" s="1"/>
  <c r="J39" i="8"/>
  <c r="J15" i="12" s="1"/>
  <c r="F39" i="8"/>
  <c r="F15" i="12" s="1"/>
  <c r="O25" i="12"/>
  <c r="C19" i="12"/>
  <c r="N19" i="12" s="1"/>
  <c r="N13" i="12"/>
  <c r="L17" i="16"/>
  <c r="G17" i="16"/>
  <c r="I17" i="16" s="1"/>
  <c r="L33" i="8"/>
  <c r="L14" i="12" s="1"/>
  <c r="L36" i="8"/>
  <c r="C36" i="8"/>
  <c r="M36" i="8"/>
  <c r="N5" i="1"/>
  <c r="N10" i="1"/>
  <c r="N12" i="1" s="1"/>
  <c r="N13" i="1" s="1"/>
  <c r="N15" i="1" s="1"/>
  <c r="M5" i="1"/>
  <c r="D17" i="16" l="1"/>
  <c r="E17" i="16" s="1"/>
  <c r="B18" i="16"/>
  <c r="D18" i="16" s="1"/>
  <c r="E18" i="16" s="1"/>
  <c r="B19" i="15"/>
  <c r="D19" i="15" s="1"/>
  <c r="D18" i="15"/>
  <c r="E18" i="15" s="1"/>
  <c r="I47" i="8"/>
  <c r="I49" i="8"/>
  <c r="I22" i="12" s="1"/>
  <c r="I24" i="12" s="1"/>
  <c r="L43" i="8"/>
  <c r="L23" i="12"/>
  <c r="L8" i="12"/>
  <c r="I16" i="16"/>
  <c r="I15" i="16"/>
  <c r="I14" i="16"/>
  <c r="J14" i="16" s="1"/>
  <c r="N21" i="12"/>
  <c r="O15" i="12"/>
  <c r="O21" i="12"/>
  <c r="E44" i="8"/>
  <c r="E47" i="8"/>
  <c r="E49" i="8" s="1"/>
  <c r="E22" i="12" s="1"/>
  <c r="E24" i="12" s="1"/>
  <c r="H44" i="8"/>
  <c r="H47" i="8"/>
  <c r="H49" i="8" s="1"/>
  <c r="H22" i="12" s="1"/>
  <c r="H24" i="12" s="1"/>
  <c r="J44" i="8"/>
  <c r="J47" i="8"/>
  <c r="J49" i="8" s="1"/>
  <c r="J22" i="12" s="1"/>
  <c r="J24" i="12" s="1"/>
  <c r="D47" i="8"/>
  <c r="D49" i="8" s="1"/>
  <c r="D22" i="12" s="1"/>
  <c r="F44" i="8"/>
  <c r="F47" i="8"/>
  <c r="F49" i="8" s="1"/>
  <c r="F22" i="12" s="1"/>
  <c r="F24" i="12" s="1"/>
  <c r="G44" i="8"/>
  <c r="G47" i="8"/>
  <c r="G49" i="8" s="1"/>
  <c r="G22" i="12" s="1"/>
  <c r="G24" i="12" s="1"/>
  <c r="I44" i="8"/>
  <c r="K44" i="8"/>
  <c r="K47" i="8"/>
  <c r="K49" i="8" s="1"/>
  <c r="K22" i="12" s="1"/>
  <c r="K24" i="12" s="1"/>
  <c r="N7" i="12"/>
  <c r="O7" i="12"/>
  <c r="J13" i="16"/>
  <c r="J12" i="16"/>
  <c r="J11" i="16"/>
  <c r="J10" i="16"/>
  <c r="J9" i="16"/>
  <c r="J8" i="16"/>
  <c r="J7" i="16"/>
  <c r="J6" i="16"/>
  <c r="O14" i="12"/>
  <c r="N14" i="12"/>
  <c r="L18" i="16"/>
  <c r="G18" i="16"/>
  <c r="I18" i="16" s="1"/>
  <c r="J18" i="16" s="1"/>
  <c r="C39" i="8"/>
  <c r="C15" i="12" s="1"/>
  <c r="N15" i="12" s="1"/>
  <c r="C43" i="8"/>
  <c r="N4" i="16" s="1" a="1"/>
  <c r="L39" i="8"/>
  <c r="L15" i="12" s="1"/>
  <c r="M39" i="8"/>
  <c r="J17" i="16" l="1"/>
  <c r="J16" i="16"/>
  <c r="D24" i="12"/>
  <c r="E19" i="15"/>
  <c r="O23" i="12"/>
  <c r="N8" i="12"/>
  <c r="O8" i="12"/>
  <c r="J15" i="16"/>
  <c r="N5" i="16"/>
  <c r="O5" i="16" s="1"/>
  <c r="N6" i="16"/>
  <c r="O6" i="16" s="1"/>
  <c r="N7" i="16"/>
  <c r="O7" i="16" s="1"/>
  <c r="N8" i="16"/>
  <c r="O8" i="16" s="1"/>
  <c r="N9" i="16"/>
  <c r="O9" i="16" s="1"/>
  <c r="N10" i="16"/>
  <c r="N11" i="16"/>
  <c r="O11" i="16" s="1"/>
  <c r="N12" i="16"/>
  <c r="O12" i="16" s="1"/>
  <c r="N13" i="16"/>
  <c r="O13" i="16" s="1"/>
  <c r="N4" i="16"/>
  <c r="C47" i="8"/>
  <c r="D44" i="8"/>
  <c r="L44" i="8"/>
  <c r="L47" i="8"/>
  <c r="L49" i="8" s="1"/>
  <c r="L22" i="12" s="1"/>
  <c r="M44" i="8"/>
  <c r="M47" i="8"/>
  <c r="M49" i="8" s="1"/>
  <c r="N18" i="16" l="1"/>
  <c r="N17" i="16"/>
  <c r="N16" i="16"/>
  <c r="N15" i="16"/>
  <c r="N14" i="16"/>
  <c r="O14" i="16" s="1"/>
  <c r="O10" i="16"/>
  <c r="O22" i="12"/>
  <c r="L24" i="12"/>
  <c r="O24" i="12" s="1"/>
  <c r="C49" i="8"/>
  <c r="C22" i="12" s="1"/>
  <c r="O18" i="16" l="1"/>
  <c r="O17" i="16"/>
  <c r="O16" i="16"/>
  <c r="O15" i="16"/>
  <c r="C24" i="12"/>
  <c r="N24" i="12" s="1"/>
  <c r="N2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SUMEDH KAGWADE</author>
  </authors>
  <commentList>
    <comment ref="C34" authorId="0" shapeId="0" xr:uid="{1A26FE25-C283-4DB3-8216-042D01ED3854}">
      <text>
        <r>
          <rPr>
            <b/>
            <sz val="9"/>
            <color indexed="81"/>
            <rFont val="Tahoma"/>
            <family val="2"/>
          </rPr>
          <t>SUMEDH KAGWADE:</t>
        </r>
        <r>
          <rPr>
            <sz val="9"/>
            <color indexed="81"/>
            <rFont val="Tahoma"/>
            <family val="2"/>
          </rPr>
          <t xml:space="preserve">
debtors pay me in how much days
</t>
        </r>
      </text>
    </comment>
    <comment ref="C35" authorId="0" shapeId="0" xr:uid="{3283D50A-9EDD-4368-B83C-6E608C4CB3CA}">
      <text>
        <r>
          <rPr>
            <b/>
            <sz val="9"/>
            <color indexed="81"/>
            <rFont val="Tahoma"/>
            <family val="2"/>
          </rPr>
          <t>SUMEDH KAGWADE:</t>
        </r>
        <r>
          <rPr>
            <sz val="9"/>
            <color indexed="81"/>
            <rFont val="Tahoma"/>
            <family val="2"/>
          </rPr>
          <t xml:space="preserve">
I pay creditors in how much time
</t>
        </r>
      </text>
    </comment>
    <comment ref="C36" authorId="0" shapeId="0" xr:uid="{0F588447-7CB0-49AE-B6C5-C401B8FBFFE5}">
      <text>
        <r>
          <rPr>
            <b/>
            <sz val="9"/>
            <color indexed="81"/>
            <rFont val="Tahoma"/>
            <family val="2"/>
          </rPr>
          <t>SUMEDH KAGWADE:</t>
        </r>
        <r>
          <rPr>
            <sz val="9"/>
            <color indexed="81"/>
            <rFont val="Tahoma"/>
            <family val="2"/>
          </rPr>
          <t xml:space="preserve">
if the company stops its production  today how much day can its inventory can sustain
</t>
        </r>
      </text>
    </comment>
    <comment ref="C37" authorId="0" shapeId="0" xr:uid="{93F318F7-FA44-41A4-9091-C9B28B9021DA}">
      <text>
        <r>
          <rPr>
            <b/>
            <sz val="9"/>
            <color indexed="81"/>
            <rFont val="Tahoma"/>
            <family val="2"/>
          </rPr>
          <t>SUMEDH KAGWADE:</t>
        </r>
        <r>
          <rPr>
            <sz val="9"/>
            <color indexed="81"/>
            <rFont val="Tahoma"/>
            <family val="2"/>
          </rPr>
          <t xml:space="preserve">
time taken by company to rotate its cash in 1 time
</t>
        </r>
      </text>
    </comment>
  </commentList>
</comments>
</file>

<file path=xl/sharedStrings.xml><?xml version="1.0" encoding="utf-8"?>
<sst xmlns="http://schemas.openxmlformats.org/spreadsheetml/2006/main" count="304" uniqueCount="209">
  <si>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</si>
  <si>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</si>
  <si>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</si>
  <si>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</si>
  <si>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</si>
  <si>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</si>
  <si>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</si>
  <si>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</si>
  <si>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</si>
  <si>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</si>
  <si>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</si>
  <si>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</si>
  <si>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</si>
  <si>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</si>
  <si>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</si>
  <si>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</si>
  <si>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</si>
  <si>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</si>
  <si>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</si>
  <si>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</si>
  <si>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</si>
  <si>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</si>
  <si>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</si>
  <si>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</si>
  <si>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</si>
  <si>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</si>
  <si>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</si>
  <si>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</si>
  <si>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</si>
  <si>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</si>
  <si>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</si>
  <si>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</si>
  <si>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</si>
  <si>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</si>
  <si>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</si>
  <si>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</si>
  <si>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</si>
  <si>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</si>
  <si>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</si>
  <si>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</si>
  <si>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</si>
  <si>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</si>
  <si>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</si>
  <si>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</si>
  <si>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</si>
  <si>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Price</t>
  </si>
  <si>
    <t>LATEST VERSION</t>
  </si>
  <si>
    <t>CURRENT VERSION</t>
  </si>
  <si>
    <t>KNR CONSTRUCTIONS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</si>
  <si>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</si>
  <si>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</si>
  <si>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</si>
  <si>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</si>
  <si>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</si>
  <si>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</si>
  <si>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</si>
  <si>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</si>
  <si>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</si>
  <si>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</si>
  <si>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</si>
  <si>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</si>
  <si>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</si>
  <si>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</si>
  <si>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</si>
  <si>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</si>
  <si>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</si>
  <si>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</si>
  <si>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</si>
  <si>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</si>
  <si>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</si>
  <si>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</si>
  <si>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</si>
  <si>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</si>
  <si>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</si>
  <si>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</si>
  <si>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</si>
  <si>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TATA Motors Ltd</t>
  </si>
  <si>
    <t>LTM</t>
  </si>
  <si>
    <t>Income Statement</t>
  </si>
  <si>
    <t>#</t>
  </si>
  <si>
    <t>COGS</t>
  </si>
  <si>
    <t>COGS % Sales</t>
  </si>
  <si>
    <t>Gross Profit</t>
  </si>
  <si>
    <t xml:space="preserve">Selling &amp; Gen Exp </t>
  </si>
  <si>
    <t>EBITDA</t>
  </si>
  <si>
    <t>S&amp;G Exp % Sales</t>
  </si>
  <si>
    <t>EBITDA Margins</t>
  </si>
  <si>
    <t>Interest % Sales</t>
  </si>
  <si>
    <t>Depreciation % Sales</t>
  </si>
  <si>
    <t>Gross Margin</t>
  </si>
  <si>
    <t>Earnings Before Tax</t>
  </si>
  <si>
    <t>EBT % Sales</t>
  </si>
  <si>
    <t>Effective Tax Rate</t>
  </si>
  <si>
    <t>Net Profit</t>
  </si>
  <si>
    <t>Net Margin</t>
  </si>
  <si>
    <t xml:space="preserve">No. of Equity Shares </t>
  </si>
  <si>
    <t>Divident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</si>
  <si>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</si>
  <si>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</si>
  <si>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</si>
  <si>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</si>
  <si>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</si>
  <si>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</si>
  <si>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Assets</t>
  </si>
  <si>
    <t>Total Non Current Assets</t>
  </si>
  <si>
    <t>Total Current Assets</t>
  </si>
  <si>
    <t xml:space="preserve">Check 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</si>
  <si>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</si>
  <si>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</si>
  <si>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</si>
  <si>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</si>
  <si>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</si>
  <si>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</si>
  <si>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</si>
  <si>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</si>
  <si>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</si>
  <si>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</si>
  <si>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</si>
  <si>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</si>
  <si>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</si>
  <si>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</si>
  <si>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</si>
  <si>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</si>
  <si>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</si>
  <si>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</si>
  <si>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</si>
  <si>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</si>
  <si>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</si>
  <si>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</si>
  <si>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</si>
  <si>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</si>
  <si>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</si>
  <si>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</si>
  <si>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</si>
  <si>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</si>
  <si>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</si>
  <si>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</si>
  <si>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Cash Flow Statements</t>
  </si>
  <si>
    <t>Cash from Opr Activities</t>
  </si>
  <si>
    <t>Opreating Activities</t>
  </si>
  <si>
    <t>Investing Activities</t>
  </si>
  <si>
    <t>Cash from Invest Activities</t>
  </si>
  <si>
    <t>Financing Activities</t>
  </si>
  <si>
    <t>Cash from Fin Activities</t>
  </si>
  <si>
    <t>-</t>
  </si>
  <si>
    <t>SalesGrowth</t>
  </si>
  <si>
    <t>EBITDA Growth</t>
  </si>
  <si>
    <t>NetProfit Growth</t>
  </si>
  <si>
    <t>Dividend Growth</t>
  </si>
  <si>
    <t>EBIT Growth</t>
  </si>
  <si>
    <t>EBITDA Margin</t>
  </si>
  <si>
    <t>EBIT Margin</t>
  </si>
  <si>
    <t>EBT Margin</t>
  </si>
  <si>
    <t>Net Profit Margin</t>
  </si>
  <si>
    <t>SalesExp% Sales</t>
  </si>
  <si>
    <t>Deprn%Sales</t>
  </si>
  <si>
    <t>OprIncome%Sales</t>
  </si>
  <si>
    <t>Return on Cap Emp</t>
  </si>
  <si>
    <t>Retained Earn %</t>
  </si>
  <si>
    <t>Return on Equity%</t>
  </si>
  <si>
    <t>Self Sust Growth Rate</t>
  </si>
  <si>
    <t>Interest Cov Ratio</t>
  </si>
  <si>
    <t>Debt Turnover Ratio</t>
  </si>
  <si>
    <t>Creditor Turnover Ratio</t>
  </si>
  <si>
    <t>Invt Turnover</t>
  </si>
  <si>
    <t>Fixed Asset Turnover</t>
  </si>
  <si>
    <t>Capital Turnover Ratio</t>
  </si>
  <si>
    <t>Debtor Days</t>
  </si>
  <si>
    <t>Payable Days</t>
  </si>
  <si>
    <t>Invt Days</t>
  </si>
  <si>
    <t>Cash Conversion Cycle</t>
  </si>
  <si>
    <t>CFO/Sales</t>
  </si>
  <si>
    <t>CFO/Total Assets</t>
  </si>
  <si>
    <t>CFO/Total Debt</t>
  </si>
  <si>
    <t>Cash From Opr Activities</t>
  </si>
  <si>
    <t>EBIT</t>
  </si>
  <si>
    <t>EBIT % Sales</t>
  </si>
  <si>
    <t>(in days)</t>
  </si>
  <si>
    <t>Mean</t>
  </si>
  <si>
    <t>Median</t>
  </si>
  <si>
    <t>Trend</t>
  </si>
  <si>
    <t>Year Weight</t>
  </si>
  <si>
    <t xml:space="preserve">Year </t>
  </si>
  <si>
    <t>Tata Motors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</si>
  <si>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</si>
  <si>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</si>
  <si>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</si>
  <si>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</si>
  <si>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</si>
  <si>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</si>
  <si>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</si>
  <si>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</si>
  <si>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</si>
  <si>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</si>
  <si>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</si>
  <si>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</si>
  <si>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</si>
  <si>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</si>
  <si>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</si>
  <si>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</si>
  <si>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</si>
  <si>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</si>
  <si>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</si>
  <si>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</si>
  <si>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</si>
  <si>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</si>
  <si>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</si>
  <si>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Strength of regr should be more than 0.4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</si>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</sst>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₹&quot;\ #,##0.00;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\-#,##0.0\);\-"/>
    <numFmt numFmtId="167" formatCode="&quot;₹&quot;\ #,##0.0;\(&quot;₹&quot;\ #,##0.0\);\-"/>
    <numFmt numFmtId="168" formatCode="&quot;₹&quot;\ #,##0.00"/>
    <numFmt numFmtId="169" formatCode="&quot;₹&quot;\ #,##0.00;\(&quot;₹&quot;\ #,##0.00\);\-"/>
    <numFmt numFmtId="170" formatCode="0.00&quot;x&quot;"/>
    <numFmt numFmtId="171" formatCode="0.0"/>
    <numFmt numFmtId="172" formatCode="0&quot;A&quot;"/>
    <numFmt numFmtId="173" formatCode="0&quot;E&quot;"/>
    <numFmt numFmtId="174" formatCode="#,##0.0"/>
    <numFmt numFmtId="175" formatCode="yyyy&quot;A&quot;"/>
    <numFmt numFmtId="176" formatCode="yyyy&quot;E&quot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9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right"/>
    </xf>
    <xf numFmtId="166" fontId="0" fillId="0" borderId="0" xfId="0" applyNumberFormat="1"/>
    <xf numFmtId="0" fontId="8" fillId="0" borderId="0" xfId="0" applyFont="1"/>
    <xf numFmtId="10" fontId="8" fillId="0" borderId="0" xfId="6" applyNumberFormat="1" applyFont="1"/>
    <xf numFmtId="7" fontId="0" fillId="0" borderId="0" xfId="0" applyNumberFormat="1"/>
    <xf numFmtId="0" fontId="0" fillId="7" borderId="0" xfId="0" applyFill="1"/>
    <xf numFmtId="167" fontId="0" fillId="0" borderId="0" xfId="0" applyNumberFormat="1"/>
    <xf numFmtId="10" fontId="0" fillId="0" borderId="0" xfId="6" applyNumberFormat="1" applyFont="1"/>
    <xf numFmtId="10" fontId="0" fillId="8" borderId="0" xfId="6" applyNumberFormat="1" applyFont="1" applyFill="1"/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9" fillId="0" borderId="0" xfId="0" applyFont="1"/>
    <xf numFmtId="0" fontId="8" fillId="0" borderId="0" xfId="0" applyFont="1" applyAlignment="1">
      <alignment horizontal="right"/>
    </xf>
    <xf numFmtId="0" fontId="1" fillId="0" borderId="1" xfId="0" applyFont="1" applyBorder="1"/>
    <xf numFmtId="167" fontId="1" fillId="0" borderId="1" xfId="0" applyNumberFormat="1" applyFont="1" applyBorder="1"/>
    <xf numFmtId="168" fontId="0" fillId="0" borderId="0" xfId="0" applyNumberFormat="1"/>
    <xf numFmtId="167" fontId="0" fillId="0" borderId="1" xfId="0" applyNumberFormat="1" applyBorder="1"/>
    <xf numFmtId="0" fontId="0" fillId="10" borderId="1" xfId="0" applyFill="1" applyBorder="1"/>
    <xf numFmtId="169" fontId="0" fillId="0" borderId="0" xfId="0" applyNumberFormat="1"/>
    <xf numFmtId="10" fontId="0" fillId="11" borderId="0" xfId="6" applyNumberFormat="1" applyFont="1" applyFill="1"/>
    <xf numFmtId="0" fontId="12" fillId="0" borderId="0" xfId="0" applyFont="1"/>
    <xf numFmtId="0" fontId="0" fillId="0" borderId="2" xfId="0" applyBorder="1"/>
    <xf numFmtId="10" fontId="0" fillId="0" borderId="2" xfId="6" applyNumberFormat="1" applyFont="1" applyBorder="1"/>
    <xf numFmtId="10" fontId="0" fillId="0" borderId="0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0" fontId="0" fillId="9" borderId="0" xfId="6" applyNumberFormat="1" applyFont="1" applyFill="1" applyBorder="1"/>
    <xf numFmtId="170" fontId="0" fillId="0" borderId="3" xfId="0" applyNumberFormat="1" applyBorder="1"/>
    <xf numFmtId="170" fontId="0" fillId="0" borderId="2" xfId="0" applyNumberFormat="1" applyBorder="1"/>
    <xf numFmtId="170" fontId="0" fillId="0" borderId="0" xfId="0" applyNumberFormat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0" fontId="0" fillId="0" borderId="2" xfId="0" applyBorder="1" applyAlignment="1">
      <alignment horizontal="center"/>
    </xf>
    <xf numFmtId="171" fontId="0" fillId="0" borderId="0" xfId="0" applyNumberFormat="1"/>
    <xf numFmtId="0" fontId="2" fillId="12" borderId="0" xfId="0" applyFont="1" applyFill="1"/>
    <xf numFmtId="17" fontId="2" fillId="12" borderId="0" xfId="0" applyNumberFormat="1" applyFont="1" applyFill="1"/>
    <xf numFmtId="0" fontId="0" fillId="0" borderId="0" xfId="0" applyAlignment="1">
      <alignment horizontal="left"/>
    </xf>
    <xf numFmtId="172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0" fontId="0" fillId="0" borderId="4" xfId="0" applyBorder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Continuous"/>
    </xf>
    <xf numFmtId="0" fontId="14" fillId="0" borderId="0" xfId="0" applyFont="1"/>
    <xf numFmtId="174" fontId="0" fillId="0" borderId="0" xfId="0" applyNumberFormat="1"/>
    <xf numFmtId="174" fontId="13" fillId="0" borderId="0" xfId="0" applyNumberFormat="1" applyFont="1"/>
    <xf numFmtId="175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" fontId="2" fillId="12" borderId="0" xfId="0" applyNumberFormat="1" applyFont="1" applyFill="1" applyAlignment="1">
      <alignment horizontal="right"/>
    </xf>
    <xf numFmtId="0" fontId="0" fillId="13" borderId="0" xfId="0" applyFill="1" applyAlignment="1">
      <alignment horizontal="left"/>
    </xf>
    <xf numFmtId="176" fontId="0" fillId="13" borderId="0" xfId="0" applyNumberFormat="1" applyFill="1" applyAlignment="1">
      <alignment horizontal="right"/>
    </xf>
    <xf numFmtId="174" fontId="0" fillId="13" borderId="0" xfId="0" applyNumberFormat="1" applyFill="1"/>
    <xf numFmtId="10" fontId="0" fillId="13" borderId="0" xfId="6" applyNumberFormat="1" applyFont="1" applyFill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3" fontId="0" fillId="0" borderId="0" xfId="0" applyNumberFormat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19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333FF"/>
      <color rgb="FFFF0066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>
                <a:softEdge rad="0"/>
              </a:effectLst>
            </c:spPr>
            <c:trendlineType val="linear"/>
            <c:dispRSqr val="0"/>
            <c:dispEq val="0"/>
          </c:trendline>
          <c:xVal>
            <c:numRef>
              <c:f>Forecast!$C$3:$C$14</c:f>
              <c:numCache>
                <c:formatCode>0"A"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xVal>
          <c:yVal>
            <c:numRef>
              <c:f>Forecast!$D$3:$D$14</c:f>
              <c:numCache>
                <c:formatCode>#,##0.0</c:formatCode>
                <c:ptCount val="12"/>
                <c:pt idx="0">
                  <c:v>263159</c:v>
                </c:pt>
                <c:pt idx="1">
                  <c:v>273046</c:v>
                </c:pt>
                <c:pt idx="2">
                  <c:v>269693</c:v>
                </c:pt>
                <c:pt idx="3">
                  <c:v>291550</c:v>
                </c:pt>
                <c:pt idx="4">
                  <c:v>301938</c:v>
                </c:pt>
                <c:pt idx="5">
                  <c:v>261068</c:v>
                </c:pt>
                <c:pt idx="6">
                  <c:v>249795</c:v>
                </c:pt>
                <c:pt idx="7">
                  <c:v>278454</c:v>
                </c:pt>
                <c:pt idx="8">
                  <c:v>345967</c:v>
                </c:pt>
                <c:pt idx="9">
                  <c:v>434016</c:v>
                </c:pt>
                <c:pt idx="10">
                  <c:v>439695</c:v>
                </c:pt>
                <c:pt idx="11">
                  <c:v>335582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E-4011-9D4B-8255C6CBA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810208"/>
        <c:axId val="502809248"/>
      </c:scatterChart>
      <c:valAx>
        <c:axId val="50281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09248"/>
        <c:crosses val="autoZero"/>
        <c:crossBetween val="midCat"/>
      </c:valAx>
      <c:valAx>
        <c:axId val="5028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1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0</xdr:row>
      <xdr:rowOff>173100</xdr:rowOff>
    </xdr:from>
    <xdr:to>
      <xdr:col>9</xdr:col>
      <xdr:colOff>441960</xdr:colOff>
      <xdr:row>10</xdr:row>
      <xdr:rowOff>129539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5D45D-6A0D-8722-E988-405C5750D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8">
  <tableColumns count="14">
    <tableColumn id="1" xr3:uid="{00000000-0010-0000-0000-000001000000}" name="Column1" headerRowDxfId="17" dataDxfId="16"/>
    <tableColumn id="2" xr3:uid="{00000000-0010-0000-0000-000002000000}" name="Column2" headerRowDxfId="15"/>
    <tableColumn id="3" xr3:uid="{00000000-0010-0000-0000-000003000000}" name="Column3" headerRowDxfId="14"/>
    <tableColumn id="4" xr3:uid="{00000000-0010-0000-0000-000004000000}" name="Column4" headerRowDxfId="13"/>
    <tableColumn id="5" xr3:uid="{00000000-0010-0000-0000-000005000000}" name="Column5" headerRowDxfId="12"/>
    <tableColumn id="6" xr3:uid="{00000000-0010-0000-0000-000006000000}" name="Column6" headerRowDxfId="11"/>
    <tableColumn id="7" xr3:uid="{00000000-0010-0000-0000-000007000000}" name="Column7" headerRowDxfId="10"/>
    <tableColumn id="8" xr3:uid="{00000000-0010-0000-0000-000008000000}" name="Column8" headerRowDxfId="9"/>
    <tableColumn id="9" xr3:uid="{00000000-0010-0000-0000-000009000000}" name="Column9" headerRowDxfId="8"/>
    <tableColumn id="10" xr3:uid="{00000000-0010-0000-0000-00000A000000}" name="Column10" headerRowDxfId="7"/>
    <tableColumn id="11" xr3:uid="{00000000-0010-0000-0000-00000B000000}" name="Column11" headerRowDxfId="6"/>
    <tableColumn id="12" xr3:uid="{00000000-0010-0000-0000-00000C000000}" name="Column12" headerRow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Normal="10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B10" sqref="B10"/>
    </sheetView>
  </sheetViews>
  <sheetFormatPr defaultColWidth="8.77734375" defaultRowHeight="14.4" x14ac:dyDescent="0.3"/>
  <cols>
    <col min="1" max="1" width="19.554687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KNR CONSTRUCTIONS LTD</v>
      </c>
      <c r="H1" t="str">
        <f>UPDATE</f>
        <v>TATA Motors Ltd</v>
      </c>
      <c r="J1" s="3"/>
      <c r="K1" s="3"/>
      <c r="M1" s="2" t="s">
        <v>1</v>
      </c>
    </row>
    <row r="3" spans="1:14" s="2" customFormat="1" x14ac:dyDescent="0.3">
      <c r="A3" s="10" t="s">
        <v>2</v>
      </c>
      <c r="B3" s="11">
        <f>'Data Sheet'!B16</f>
        <v>42825</v>
      </c>
      <c r="C3" s="11">
        <f>'Data Sheet'!C16</f>
        <v>43190</v>
      </c>
      <c r="D3" s="11">
        <f>'Data Sheet'!D16</f>
        <v>43555</v>
      </c>
      <c r="E3" s="11">
        <f>'Data Sheet'!E16</f>
        <v>43921</v>
      </c>
      <c r="F3" s="11">
        <f>'Data Sheet'!F16</f>
        <v>44286</v>
      </c>
      <c r="G3" s="11">
        <f>'Data Sheet'!G16</f>
        <v>44651</v>
      </c>
      <c r="H3" s="11">
        <f>'Data Sheet'!H16</f>
        <v>45016</v>
      </c>
      <c r="I3" s="11">
        <f>'Data Sheet'!I16</f>
        <v>45382</v>
      </c>
      <c r="J3" s="11">
        <f>'Data Sheet'!J16</f>
        <v>45747</v>
      </c>
      <c r="K3" s="11">
        <f>'Data Sheet'!K16</f>
        <v>46112</v>
      </c>
      <c r="L3" s="12" t="s">
        <v>3</v>
      </c>
      <c r="M3" s="12" t="s">
        <v>4</v>
      </c>
      <c r="N3" s="12" t="s">
        <v>5</v>
      </c>
    </row>
    <row r="4" spans="1:14" s="2" customFormat="1" x14ac:dyDescent="0.3">
      <c r="A4" s="2" t="s">
        <v>6</v>
      </c>
      <c r="B4" s="1">
        <f>'Data Sheet'!B17</f>
        <v>1642.13</v>
      </c>
      <c r="C4" s="1">
        <f>'Data Sheet'!C17</f>
        <v>2069.6</v>
      </c>
      <c r="D4" s="1">
        <f>'Data Sheet'!D17</f>
        <v>2291.5</v>
      </c>
      <c r="E4" s="1">
        <f>'Data Sheet'!E17</f>
        <v>2451.6799999999998</v>
      </c>
      <c r="F4" s="1">
        <f>'Data Sheet'!F17</f>
        <v>2903.63</v>
      </c>
      <c r="G4" s="1">
        <f>'Data Sheet'!G17</f>
        <v>3605.82</v>
      </c>
      <c r="H4" s="1">
        <f>'Data Sheet'!H17</f>
        <v>4062.36</v>
      </c>
      <c r="I4" s="1">
        <f>'Data Sheet'!I17</f>
        <v>4429.49</v>
      </c>
      <c r="J4" s="1">
        <f>'Data Sheet'!J17</f>
        <v>4753.17</v>
      </c>
      <c r="K4" s="1">
        <f>'Data Sheet'!K17</f>
        <v>2698.01</v>
      </c>
      <c r="L4" s="1" t="e">
        <f>SUM(#REF!)</f>
        <v>#REF!</v>
      </c>
      <c r="M4" s="1">
        <f>$K4+M23*K4</f>
        <v>2353.9574281959572</v>
      </c>
      <c r="N4" s="1" t="e">
        <f>$K4+N23*L4</f>
        <v>#REF!</v>
      </c>
    </row>
    <row r="5" spans="1:14" x14ac:dyDescent="0.3">
      <c r="A5" t="s">
        <v>7</v>
      </c>
      <c r="B5" s="6">
        <f>SUM('Data Sheet'!B18,'Data Sheet'!B20:B24, -1*'Data Sheet'!B19)</f>
        <v>1377.67</v>
      </c>
      <c r="C5" s="6">
        <f>SUM('Data Sheet'!C18,'Data Sheet'!C20:C24, -1*'Data Sheet'!C19)</f>
        <v>1620.21</v>
      </c>
      <c r="D5" s="6">
        <f>SUM('Data Sheet'!D18,'Data Sheet'!D20:D24, -1*'Data Sheet'!D19)</f>
        <v>1753.93</v>
      </c>
      <c r="E5" s="6">
        <f>SUM('Data Sheet'!E18,'Data Sheet'!E20:E24, -1*'Data Sheet'!E19)</f>
        <v>1828.69</v>
      </c>
      <c r="F5" s="6">
        <f>SUM('Data Sheet'!F18,'Data Sheet'!F20:F24, -1*'Data Sheet'!F19)</f>
        <v>2204.7199999999998</v>
      </c>
      <c r="G5" s="6">
        <f>SUM('Data Sheet'!G18,'Data Sheet'!G20:G24, -1*'Data Sheet'!G19)</f>
        <v>2804.1100000000006</v>
      </c>
      <c r="H5" s="6">
        <f>SUM('Data Sheet'!H18,'Data Sheet'!H20:H24, -1*'Data Sheet'!H19)</f>
        <v>3144.6800000000003</v>
      </c>
      <c r="I5" s="6">
        <f>SUM('Data Sheet'!I18,'Data Sheet'!I20:I24, -1*'Data Sheet'!I19)</f>
        <v>3380.5</v>
      </c>
      <c r="J5" s="6">
        <f>SUM('Data Sheet'!J18,'Data Sheet'!J20:J24, -1*'Data Sheet'!J19)</f>
        <v>3143.54</v>
      </c>
      <c r="K5" s="6">
        <f>SUM('Data Sheet'!K18,'Data Sheet'!K20:K24, -1*'Data Sheet'!K19)</f>
        <v>1986.6599999999999</v>
      </c>
      <c r="L5" s="6" t="e">
        <f>SUM(#REF!)</f>
        <v>#REF!</v>
      </c>
      <c r="M5" s="6" t="e">
        <f t="shared" ref="M5:N5" si="0">M4-M6</f>
        <v>#REF!</v>
      </c>
      <c r="N5" s="6" t="e">
        <f t="shared" si="0"/>
        <v>#REF!</v>
      </c>
    </row>
    <row r="6" spans="1:14" s="2" customFormat="1" x14ac:dyDescent="0.3">
      <c r="A6" s="2" t="s">
        <v>8</v>
      </c>
      <c r="B6" s="1">
        <f>B4-B5</f>
        <v>264.46000000000004</v>
      </c>
      <c r="C6" s="1">
        <f t="shared" ref="C6:K6" si="1">C4-C5</f>
        <v>449.38999999999987</v>
      </c>
      <c r="D6" s="1">
        <f t="shared" si="1"/>
        <v>537.56999999999994</v>
      </c>
      <c r="E6" s="1">
        <f t="shared" si="1"/>
        <v>622.98999999999978</v>
      </c>
      <c r="F6" s="1">
        <f t="shared" si="1"/>
        <v>698.91000000000031</v>
      </c>
      <c r="G6" s="1">
        <f t="shared" si="1"/>
        <v>801.70999999999958</v>
      </c>
      <c r="H6" s="1">
        <f t="shared" si="1"/>
        <v>917.67999999999984</v>
      </c>
      <c r="I6" s="1">
        <f t="shared" si="1"/>
        <v>1048.9899999999998</v>
      </c>
      <c r="J6" s="1">
        <f t="shared" si="1"/>
        <v>1609.63</v>
      </c>
      <c r="K6" s="1">
        <f t="shared" si="1"/>
        <v>711.35000000000036</v>
      </c>
      <c r="L6" s="1" t="e">
        <f>SUM(#REF!)</f>
        <v>#REF!</v>
      </c>
      <c r="M6" s="1" t="e">
        <f>M4*M24</f>
        <v>#REF!</v>
      </c>
      <c r="N6" s="1" t="e">
        <f>N4*N24</f>
        <v>#REF!</v>
      </c>
    </row>
    <row r="7" spans="1:14" x14ac:dyDescent="0.3">
      <c r="A7" t="s">
        <v>9</v>
      </c>
      <c r="B7" s="6">
        <f>'Data Sheet'!B25</f>
        <v>29.57</v>
      </c>
      <c r="C7" s="6">
        <f>'Data Sheet'!C25</f>
        <v>54.94</v>
      </c>
      <c r="D7" s="6">
        <f>'Data Sheet'!D25</f>
        <v>74.760000000000005</v>
      </c>
      <c r="E7" s="6">
        <f>'Data Sheet'!E25</f>
        <v>66.39</v>
      </c>
      <c r="F7" s="6">
        <f>'Data Sheet'!F25</f>
        <v>143.99</v>
      </c>
      <c r="G7" s="6">
        <f>'Data Sheet'!G25</f>
        <v>77.73</v>
      </c>
      <c r="H7" s="6">
        <f>'Data Sheet'!H25</f>
        <v>97.67</v>
      </c>
      <c r="I7" s="6">
        <f>'Data Sheet'!I25</f>
        <v>162.19</v>
      </c>
      <c r="J7" s="6">
        <f>'Data Sheet'!J25</f>
        <v>172.18</v>
      </c>
      <c r="K7" s="6">
        <f>'Data Sheet'!K25</f>
        <v>65.22</v>
      </c>
      <c r="L7" s="6" t="e">
        <f>SUM(#REF!)</f>
        <v>#REF!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115.63</v>
      </c>
      <c r="C8" s="6">
        <f>'Data Sheet'!C26</f>
        <v>193.6</v>
      </c>
      <c r="D8" s="6">
        <f>'Data Sheet'!D26</f>
        <v>230.13</v>
      </c>
      <c r="E8" s="6">
        <f>'Data Sheet'!E26</f>
        <v>254.13</v>
      </c>
      <c r="F8" s="6">
        <f>'Data Sheet'!F26</f>
        <v>189.9</v>
      </c>
      <c r="G8" s="6">
        <f>'Data Sheet'!G26</f>
        <v>164.92</v>
      </c>
      <c r="H8" s="6">
        <f>'Data Sheet'!H26</f>
        <v>180.7</v>
      </c>
      <c r="I8" s="6">
        <f>'Data Sheet'!I26</f>
        <v>156.83000000000001</v>
      </c>
      <c r="J8" s="6">
        <f>'Data Sheet'!J26</f>
        <v>314.22000000000003</v>
      </c>
      <c r="K8" s="6">
        <f>'Data Sheet'!K26</f>
        <v>59.46</v>
      </c>
      <c r="L8" s="6" t="e">
        <f>SUM(#REF!)</f>
        <v>#REF!</v>
      </c>
      <c r="M8" s="6" t="e">
        <f>+$L8</f>
        <v>#REF!</v>
      </c>
      <c r="N8" s="6" t="e">
        <f>+$L8</f>
        <v>#REF!</v>
      </c>
    </row>
    <row r="9" spans="1:14" x14ac:dyDescent="0.3">
      <c r="A9" t="s">
        <v>11</v>
      </c>
      <c r="B9" s="6">
        <f>'Data Sheet'!B27</f>
        <v>72.67</v>
      </c>
      <c r="C9" s="6">
        <f>'Data Sheet'!C27</f>
        <v>82.5</v>
      </c>
      <c r="D9" s="6">
        <f>'Data Sheet'!D27</f>
        <v>89.84</v>
      </c>
      <c r="E9" s="6">
        <f>'Data Sheet'!E27</f>
        <v>110.78</v>
      </c>
      <c r="F9" s="6">
        <f>'Data Sheet'!F27</f>
        <v>133.21</v>
      </c>
      <c r="G9" s="6">
        <f>'Data Sheet'!G27</f>
        <v>151.13999999999999</v>
      </c>
      <c r="H9" s="6">
        <f>'Data Sheet'!H27</f>
        <v>153.4</v>
      </c>
      <c r="I9" s="6">
        <f>'Data Sheet'!I27</f>
        <v>105.89</v>
      </c>
      <c r="J9" s="6">
        <f>'Data Sheet'!J27</f>
        <v>208.01</v>
      </c>
      <c r="K9" s="6">
        <f>'Data Sheet'!K27</f>
        <v>211.73</v>
      </c>
      <c r="L9" s="6" t="e">
        <f>SUM(#REF!)</f>
        <v>#REF!</v>
      </c>
      <c r="M9" s="6" t="e">
        <f>+$L9</f>
        <v>#REF!</v>
      </c>
      <c r="N9" s="6" t="e">
        <f>+$L9</f>
        <v>#REF!</v>
      </c>
    </row>
    <row r="10" spans="1:14" x14ac:dyDescent="0.3">
      <c r="A10" t="s">
        <v>12</v>
      </c>
      <c r="B10" s="6">
        <f>'Data Sheet'!B28</f>
        <v>105.73</v>
      </c>
      <c r="C10" s="6">
        <f>'Data Sheet'!C28</f>
        <v>228.23</v>
      </c>
      <c r="D10" s="6">
        <f>'Data Sheet'!D28</f>
        <v>292.36</v>
      </c>
      <c r="E10" s="6">
        <f>'Data Sheet'!E28</f>
        <v>324.47000000000003</v>
      </c>
      <c r="F10" s="6">
        <f>'Data Sheet'!F28</f>
        <v>519.79</v>
      </c>
      <c r="G10" s="6">
        <f>'Data Sheet'!G28</f>
        <v>563.38</v>
      </c>
      <c r="H10" s="6">
        <f>'Data Sheet'!H28</f>
        <v>681.25</v>
      </c>
      <c r="I10" s="6">
        <f>'Data Sheet'!I28</f>
        <v>948.46</v>
      </c>
      <c r="J10" s="6">
        <f>'Data Sheet'!J28</f>
        <v>1259.58</v>
      </c>
      <c r="K10" s="6">
        <f>'Data Sheet'!K28</f>
        <v>505.38</v>
      </c>
      <c r="L10" s="6" t="e">
        <f>SUM(#REF!)</f>
        <v>#REF!</v>
      </c>
      <c r="M10" s="6" t="e">
        <f>M6+M7-SUM(M8:M9)</f>
        <v>#REF!</v>
      </c>
      <c r="N10" s="6" t="e">
        <f>N6+N7-SUM(N8:N9)</f>
        <v>#REF!</v>
      </c>
    </row>
    <row r="11" spans="1:14" x14ac:dyDescent="0.3">
      <c r="A11" t="s">
        <v>13</v>
      </c>
      <c r="B11" s="6">
        <f>'Data Sheet'!B29</f>
        <v>6.99</v>
      </c>
      <c r="C11" s="6">
        <f>'Data Sheet'!C29</f>
        <v>-0.73</v>
      </c>
      <c r="D11" s="6">
        <f>'Data Sheet'!D29</f>
        <v>27.47</v>
      </c>
      <c r="E11" s="6">
        <f>'Data Sheet'!E29</f>
        <v>68.53</v>
      </c>
      <c r="F11" s="6">
        <f>'Data Sheet'!F29</f>
        <v>136.96</v>
      </c>
      <c r="G11" s="6">
        <f>'Data Sheet'!G29</f>
        <v>196.99</v>
      </c>
      <c r="H11" s="6">
        <f>'Data Sheet'!H29</f>
        <v>241.84</v>
      </c>
      <c r="I11" s="6">
        <f>'Data Sheet'!I29</f>
        <v>196.17</v>
      </c>
      <c r="J11" s="6">
        <f>'Data Sheet'!J29</f>
        <v>257.70999999999998</v>
      </c>
      <c r="K11" s="6">
        <f>'Data Sheet'!K29</f>
        <v>85.95</v>
      </c>
      <c r="L11" s="6" t="e">
        <f>SUM(#REF!)</f>
        <v>#REF!</v>
      </c>
      <c r="M11" s="7" t="e">
        <f>IF($L10&gt;0,$L11/$L10,0)</f>
        <v>#REF!</v>
      </c>
      <c r="N11" s="7" t="e">
        <f>IF($L10&gt;0,$L11/$L10,0)</f>
        <v>#REF!</v>
      </c>
    </row>
    <row r="12" spans="1:14" s="2" customFormat="1" x14ac:dyDescent="0.3">
      <c r="A12" s="2" t="s">
        <v>14</v>
      </c>
      <c r="B12" s="1">
        <f>'Data Sheet'!B30</f>
        <v>114.9</v>
      </c>
      <c r="C12" s="1">
        <f>'Data Sheet'!C30</f>
        <v>243.48</v>
      </c>
      <c r="D12" s="1">
        <f>'Data Sheet'!D30</f>
        <v>270.51</v>
      </c>
      <c r="E12" s="1">
        <f>'Data Sheet'!E30</f>
        <v>265.51</v>
      </c>
      <c r="F12" s="1">
        <f>'Data Sheet'!F30</f>
        <v>407.38</v>
      </c>
      <c r="G12" s="1">
        <f>'Data Sheet'!G30</f>
        <v>381.84</v>
      </c>
      <c r="H12" s="1">
        <f>'Data Sheet'!H30</f>
        <v>458.01</v>
      </c>
      <c r="I12" s="1">
        <f>'Data Sheet'!I30</f>
        <v>777.4</v>
      </c>
      <c r="J12" s="1">
        <f>'Data Sheet'!J30</f>
        <v>1001.87</v>
      </c>
      <c r="K12" s="1">
        <f>'Data Sheet'!K30</f>
        <v>437.08</v>
      </c>
      <c r="L12" s="1" t="e">
        <f>SUM(#REF!)</f>
        <v>#REF!</v>
      </c>
      <c r="M12" s="1" t="e">
        <f>M10-M11*M10</f>
        <v>#REF!</v>
      </c>
      <c r="N12" s="1" t="e">
        <f>N10-N11*N10</f>
        <v>#REF!</v>
      </c>
    </row>
    <row r="13" spans="1:14" x14ac:dyDescent="0.3">
      <c r="A13" t="s">
        <v>44</v>
      </c>
      <c r="B13" s="6">
        <f>IF('Data Sheet'!B93&gt;0,B12/'Data Sheet'!B93,0)</f>
        <v>4.0860597439544808</v>
      </c>
      <c r="C13" s="6">
        <f>IF('Data Sheet'!C93&gt;0,C12/'Data Sheet'!C93,0)</f>
        <v>8.6586059743954475</v>
      </c>
      <c r="D13" s="6">
        <f>IF('Data Sheet'!D93&gt;0,D12/'Data Sheet'!D93,0)</f>
        <v>9.6198435277382632</v>
      </c>
      <c r="E13" s="6">
        <f>IF('Data Sheet'!E93&gt;0,E12/'Data Sheet'!E93,0)</f>
        <v>9.4420341394025602</v>
      </c>
      <c r="F13" s="6">
        <f>IF('Data Sheet'!F93&gt;0,F12/'Data Sheet'!F93,0)</f>
        <v>14.487197724039829</v>
      </c>
      <c r="G13" s="6">
        <f>IF('Data Sheet'!G93&gt;0,G12/'Data Sheet'!G93,0)</f>
        <v>13.578947368421051</v>
      </c>
      <c r="H13" s="6">
        <f>IF('Data Sheet'!H93&gt;0,H12/'Data Sheet'!H93,0)</f>
        <v>16.287695590327168</v>
      </c>
      <c r="I13" s="6">
        <f>IF('Data Sheet'!I93&gt;0,I12/'Data Sheet'!I93,0)</f>
        <v>27.645803698435277</v>
      </c>
      <c r="J13" s="6">
        <f>IF('Data Sheet'!J93&gt;0,J12/'Data Sheet'!J93,0)</f>
        <v>35.628378378378379</v>
      </c>
      <c r="K13" s="6">
        <f>IF('Data Sheet'!K93&gt;0,K12/'Data Sheet'!K93,0)</f>
        <v>15.543385490753911</v>
      </c>
      <c r="L13" s="6" t="e">
        <f>IF('Data Sheet'!$B6&gt;0,'Profit &amp; Loss'!L12/'Data Sheet'!$B6,0)</f>
        <v>#REF!</v>
      </c>
      <c r="M13" s="6" t="e">
        <f>IF('Data Sheet'!$B6&gt;0,'Profit &amp; Loss'!M12/'Data Sheet'!$B6,0)</f>
        <v>#REF!</v>
      </c>
      <c r="N13" s="6" t="e">
        <f>IF('Data Sheet'!$B6&gt;0,'Profit &amp; Loss'!N12/'Data Sheet'!$B6,0)</f>
        <v>#REF!</v>
      </c>
    </row>
    <row r="14" spans="1:14" x14ac:dyDescent="0.3">
      <c r="A14" t="s">
        <v>16</v>
      </c>
      <c r="B14" s="6">
        <f>IF(B15&gt;0,B15/B13,"")</f>
        <v>23.587516100957352</v>
      </c>
      <c r="C14" s="6">
        <f t="shared" ref="C14:K14" si="2">IF(C15&gt;0,C15/C13,"")</f>
        <v>16.399868572367343</v>
      </c>
      <c r="D14" s="6">
        <f t="shared" si="2"/>
        <v>13.584420538981925</v>
      </c>
      <c r="E14" s="6">
        <f t="shared" si="2"/>
        <v>10.405596776015969</v>
      </c>
      <c r="F14" s="6">
        <f t="shared" si="2"/>
        <v>14.730246943885316</v>
      </c>
      <c r="G14" s="6">
        <f t="shared" si="2"/>
        <v>20.925775193798451</v>
      </c>
      <c r="H14" s="6">
        <f t="shared" si="2"/>
        <v>15.576175192681383</v>
      </c>
      <c r="I14" s="6">
        <f t="shared" si="2"/>
        <v>8.9091278621044516</v>
      </c>
      <c r="J14" s="6">
        <f t="shared" si="2"/>
        <v>6.4030419116252606</v>
      </c>
      <c r="K14" s="6">
        <f t="shared" si="2"/>
        <v>7.2725469021689397</v>
      </c>
      <c r="L14" s="6" t="e">
        <f t="shared" ref="L14" si="3">IF(L13&gt;0,L15/L13,0)</f>
        <v>#REF!</v>
      </c>
      <c r="M14" s="6" t="e">
        <f>M25</f>
        <v>#REF!</v>
      </c>
      <c r="N14" s="6" t="e">
        <f>N25</f>
        <v>#REF!</v>
      </c>
    </row>
    <row r="15" spans="1:14" s="2" customFormat="1" x14ac:dyDescent="0.3">
      <c r="A15" s="2" t="s">
        <v>45</v>
      </c>
      <c r="B15" s="1">
        <f>'Data Sheet'!B90</f>
        <v>96.38</v>
      </c>
      <c r="C15" s="1">
        <f>'Data Sheet'!C90</f>
        <v>142</v>
      </c>
      <c r="D15" s="1">
        <f>'Data Sheet'!D90</f>
        <v>130.68</v>
      </c>
      <c r="E15" s="1">
        <f>'Data Sheet'!E90</f>
        <v>98.25</v>
      </c>
      <c r="F15" s="1">
        <f>'Data Sheet'!F90</f>
        <v>213.4</v>
      </c>
      <c r="G15" s="1">
        <f>'Data Sheet'!G90</f>
        <v>284.14999999999998</v>
      </c>
      <c r="H15" s="1">
        <f>'Data Sheet'!H90</f>
        <v>253.7</v>
      </c>
      <c r="I15" s="1">
        <f>'Data Sheet'!I90</f>
        <v>246.3</v>
      </c>
      <c r="J15" s="1">
        <f>'Data Sheet'!J90</f>
        <v>228.13</v>
      </c>
      <c r="K15" s="1">
        <f>'Data Sheet'!K90</f>
        <v>113.04</v>
      </c>
      <c r="L15" s="1">
        <f>'Data Sheet'!B8</f>
        <v>126.7</v>
      </c>
      <c r="M15" s="8" t="e">
        <f>M13*M14</f>
        <v>#REF!</v>
      </c>
      <c r="N15" s="9" t="e">
        <f>N13*N14</f>
        <v>#REF!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6.1183637946040037E-2</v>
      </c>
      <c r="C18" s="5">
        <f>IF('Data Sheet'!C30&gt;0, 'Data Sheet'!C31/'Data Sheet'!C30, 0)</f>
        <v>2.308197798587153E-2</v>
      </c>
      <c r="D18" s="5">
        <f>IF('Data Sheet'!D30&gt;0, 'Data Sheet'!D31/'Data Sheet'!D30, 0)</f>
        <v>2.0775572067576062E-2</v>
      </c>
      <c r="E18" s="5">
        <f>IF('Data Sheet'!E30&gt;0, 'Data Sheet'!E31/'Data Sheet'!E30, 0)</f>
        <v>2.6477345486045724E-2</v>
      </c>
      <c r="F18" s="5">
        <f>IF('Data Sheet'!F30&gt;0, 'Data Sheet'!F31/'Data Sheet'!F30, 0)</f>
        <v>1.7256615445039029E-2</v>
      </c>
      <c r="G18" s="5">
        <f>IF('Data Sheet'!G30&gt;0, 'Data Sheet'!G31/'Data Sheet'!G30, 0)</f>
        <v>1.8410852713178296E-2</v>
      </c>
      <c r="H18" s="5">
        <f>IF('Data Sheet'!H30&gt;0, 'Data Sheet'!H31/'Data Sheet'!H30, 0)</f>
        <v>1.5349009846946574E-2</v>
      </c>
      <c r="I18" s="5">
        <f>IF('Data Sheet'!I30&gt;0, 'Data Sheet'!I31/'Data Sheet'!I30, 0)</f>
        <v>9.0429637252379732E-3</v>
      </c>
      <c r="J18" s="5">
        <f>IF('Data Sheet'!J30&gt;0, 'Data Sheet'!J31/'Data Sheet'!J30, 0)</f>
        <v>7.0168784373222078E-3</v>
      </c>
      <c r="K18" s="5">
        <f>IF('Data Sheet'!K30&gt;0, 'Data Sheet'!K31/'Data Sheet'!K30, 0)</f>
        <v>1.6084012080168391E-2</v>
      </c>
    </row>
    <row r="19" spans="1:14" x14ac:dyDescent="0.3">
      <c r="A19" t="s">
        <v>18</v>
      </c>
      <c r="B19" s="5">
        <f t="shared" ref="B19:L19" si="4">IF(B6&gt;0,B6/B4,0)</f>
        <v>0.16104693294684344</v>
      </c>
      <c r="C19" s="5">
        <f t="shared" ref="C19:K19" si="5">IF(C6&gt;0,C6/C4,0)</f>
        <v>0.21713857750289906</v>
      </c>
      <c r="D19" s="5">
        <f t="shared" si="5"/>
        <v>0.23459306131355004</v>
      </c>
      <c r="E19" s="5">
        <f t="shared" si="5"/>
        <v>0.25410738758728701</v>
      </c>
      <c r="F19" s="5">
        <f t="shared" si="5"/>
        <v>0.24070215557767355</v>
      </c>
      <c r="G19" s="5">
        <f t="shared" si="5"/>
        <v>0.22233777615077835</v>
      </c>
      <c r="H19" s="5">
        <f t="shared" si="5"/>
        <v>0.22589824633956612</v>
      </c>
      <c r="I19" s="5">
        <f t="shared" si="5"/>
        <v>0.23681958871111569</v>
      </c>
      <c r="J19" s="5">
        <f t="shared" si="5"/>
        <v>0.33864347372385167</v>
      </c>
      <c r="K19" s="5">
        <f t="shared" si="5"/>
        <v>0.26365728814941392</v>
      </c>
      <c r="L19" s="5" t="e">
        <f t="shared" si="4"/>
        <v>#REF!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0"/>
      <c r="B22" s="11"/>
      <c r="C22" s="11"/>
      <c r="D22" s="11"/>
      <c r="E22" s="11"/>
      <c r="F22" s="11"/>
      <c r="G22" s="11" t="s">
        <v>19</v>
      </c>
      <c r="H22" s="11" t="s">
        <v>50</v>
      </c>
      <c r="I22" s="11" t="s">
        <v>51</v>
      </c>
      <c r="J22" s="11" t="s">
        <v>52</v>
      </c>
      <c r="K22" s="11" t="s">
        <v>53</v>
      </c>
      <c r="L22" s="12" t="s">
        <v>54</v>
      </c>
      <c r="M22" s="12" t="s">
        <v>20</v>
      </c>
      <c r="N22" s="12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5.6719101129526717E-2</v>
      </c>
      <c r="I23" s="5">
        <f>IF(D4=0,"",POWER($K4/D4,1/7)-1)</f>
        <v>2.3603957265194708E-2</v>
      </c>
      <c r="J23" s="5">
        <f>IF(F4=0,"",POWER($K4/F4,1/5)-1)</f>
        <v>-1.4582079310775264E-2</v>
      </c>
      <c r="K23" s="5">
        <f>IF(H4=0,"",POWER($K4/H4, 1/3)-1)</f>
        <v>-0.12752086604721369</v>
      </c>
      <c r="L23" s="5" t="str">
        <f>IF(ISERROR(MAX(IF(J4=0,"",(K4-J4)/J4),IF(K4=0,"",(L4-K4)/K4))),"",MAX(IF(J4=0,"",(K4-J4)/J4),IF(K4=0,"",(L4-K4)/K4)))</f>
        <v/>
      </c>
      <c r="M23" s="13">
        <f>MAX(K23:L23)</f>
        <v>-0.12752086604721369</v>
      </c>
      <c r="N23" s="13">
        <f>MIN(H23:L23)</f>
        <v>-0.12752086604721369</v>
      </c>
    </row>
    <row r="24" spans="1:14" x14ac:dyDescent="0.3">
      <c r="G24" t="s">
        <v>18</v>
      </c>
      <c r="H24" s="5">
        <f>IF(SUM(B4:$K$4)=0,"",SUMPRODUCT(B19:$K$19,B4:$K$4)/SUM(B4:$K$4))</f>
        <v>0.24792387839930838</v>
      </c>
      <c r="I24" s="5">
        <f>IF(SUM(E4:$K$4)=0,"",SUMPRODUCT(E19:$K$19,E4:$K$4)/SUM(E4:$K$4))</f>
        <v>0.25743731167804895</v>
      </c>
      <c r="J24" s="5">
        <f>IF(SUM(G4:$K$4)=0,"",SUMPRODUCT(G19:$K$19,G4:$K$4)/SUM(G4:$K$4))</f>
        <v>0.26034063384802686</v>
      </c>
      <c r="K24" s="5">
        <f>IF(SUM(I4:$K$4)=0, "", SUMPRODUCT(I19:$K$19,I4:$K$4)/SUM(I4:$K$4))</f>
        <v>0.28365151123631921</v>
      </c>
      <c r="L24" s="5" t="e">
        <f>L19</f>
        <v>#REF!</v>
      </c>
      <c r="M24" s="13" t="e">
        <f>MAX(K24:L24)</f>
        <v>#REF!</v>
      </c>
      <c r="N24" s="13" t="e">
        <f>MIN(H24:L24)</f>
        <v>#REF!</v>
      </c>
    </row>
    <row r="25" spans="1:14" x14ac:dyDescent="0.3">
      <c r="G25" t="s">
        <v>23</v>
      </c>
      <c r="H25" s="6">
        <f>IF(ISERROR(AVERAGEIF(B14:$L14,"&gt;0")),"",AVERAGEIF(B14:$L14,"&gt;0"))</f>
        <v>13.779431599458638</v>
      </c>
      <c r="I25" s="6">
        <f>IF(ISERROR(AVERAGEIF(E14:$L14,"&gt;0")),"",AVERAGEIF(E14:$L14,"&gt;0"))</f>
        <v>12.031787254611396</v>
      </c>
      <c r="J25" s="6">
        <f>IF(ISERROR(AVERAGEIF(G14:$L14,"&gt;0")),"",AVERAGEIF(G14:$L14,"&gt;0"))</f>
        <v>11.817333412475698</v>
      </c>
      <c r="K25" s="6">
        <f>IF(ISERROR(AVERAGEIF(I14:$L14,"&gt;0")),"",AVERAGEIF(I14:$L14,"&gt;0"))</f>
        <v>7.5282388919662173</v>
      </c>
      <c r="L25" s="6" t="e">
        <f>L14</f>
        <v>#REF!</v>
      </c>
      <c r="M25" s="1" t="e">
        <f>MAX(K25:L25)</f>
        <v>#REF!</v>
      </c>
      <c r="N25" s="1" t="e">
        <f>MIN(H25:L25)</f>
        <v>#REF!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E4A8-7E95-4567-9C7B-85B4079C7A88}">
  <sheetPr codeName="Sheet2">
    <tabColor theme="2" tint="-0.499984740745262"/>
  </sheetPr>
  <dimension ref="A1"/>
  <sheetViews>
    <sheetView workbookViewId="0">
      <selection activeCell="K16" sqref="K16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7941-54E8-462D-BE44-8260A78CC3FC}">
  <sheetPr codeName="Sheet3">
    <tabColor theme="9" tint="-0.249977111117893"/>
  </sheetPr>
  <dimension ref="A2:AA121"/>
  <sheetViews>
    <sheetView showGridLines="0" tabSelected="1" zoomScaleNormal="100" workbookViewId="0">
      <pane ySplit="3" topLeftCell="A4" activePane="bottomLeft" state="frozen"/>
      <selection pane="bottomLeft" activeCell="G48" sqref="G48"/>
    </sheetView>
  </sheetViews>
  <sheetFormatPr defaultRowHeight="14.4" x14ac:dyDescent="0.3"/>
  <cols>
    <col min="1" max="1" width="2" bestFit="1" customWidth="1"/>
    <col min="2" max="2" width="23.88671875" customWidth="1"/>
    <col min="3" max="12" width="11.88671875" bestFit="1" customWidth="1"/>
    <col min="13" max="13" width="13.109375" bestFit="1" customWidth="1"/>
    <col min="16" max="16" width="12.21875" bestFit="1" customWidth="1"/>
    <col min="17" max="18" width="8.44140625" bestFit="1" customWidth="1"/>
    <col min="19" max="19" width="10.5546875" bestFit="1" customWidth="1"/>
    <col min="20" max="20" width="7" bestFit="1" customWidth="1"/>
    <col min="21" max="21" width="10.5546875" bestFit="1" customWidth="1"/>
    <col min="22" max="24" width="8.44140625" bestFit="1" customWidth="1"/>
    <col min="25" max="27" width="9.44140625" bestFit="1" customWidth="1"/>
  </cols>
  <sheetData>
    <row r="2" spans="1:13" x14ac:dyDescent="0.3">
      <c r="B2" s="74" t="str">
        <f>"Historical Financial Statement - "&amp;UPDATE</f>
        <v>Historical Financial Statement - TATA Motors Ltd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x14ac:dyDescent="0.3">
      <c r="B3" s="17" t="s">
        <v>75</v>
      </c>
      <c r="C3" s="18">
        <f>'Data Sheet'!B16</f>
        <v>42825</v>
      </c>
      <c r="D3" s="18">
        <f>'Data Sheet'!C16</f>
        <v>43190</v>
      </c>
      <c r="E3" s="18">
        <f>'Data Sheet'!D16</f>
        <v>43555</v>
      </c>
      <c r="F3" s="18">
        <f>'Data Sheet'!E16</f>
        <v>43921</v>
      </c>
      <c r="G3" s="18">
        <f>'Data Sheet'!F16</f>
        <v>44286</v>
      </c>
      <c r="H3" s="18">
        <f>'Data Sheet'!G16</f>
        <v>44651</v>
      </c>
      <c r="I3" s="18">
        <f>'Data Sheet'!H16</f>
        <v>45016</v>
      </c>
      <c r="J3" s="18">
        <f>'Data Sheet'!I16</f>
        <v>45382</v>
      </c>
      <c r="K3" s="18">
        <f>'Data Sheet'!J16</f>
        <v>45747</v>
      </c>
      <c r="L3" s="18">
        <f>'Data Sheet'!K16</f>
        <v>46112</v>
      </c>
      <c r="M3" s="19" t="s">
        <v>77</v>
      </c>
    </row>
    <row r="5" spans="1:13" x14ac:dyDescent="0.3">
      <c r="A5" t="s">
        <v>79</v>
      </c>
      <c r="B5" s="24" t="s">
        <v>78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x14ac:dyDescent="0.3">
      <c r="B6" t="s">
        <v>6</v>
      </c>
      <c r="C6" s="25">
        <f>IFERROR('Data Sheet'!B17,0)</f>
        <v>1642.13</v>
      </c>
      <c r="D6" s="25">
        <f>IFERROR('Data Sheet'!C17,0)</f>
        <v>2069.6</v>
      </c>
      <c r="E6" s="25">
        <f>IFERROR('Data Sheet'!D17,0)</f>
        <v>2291.5</v>
      </c>
      <c r="F6" s="25">
        <f>IFERROR('Data Sheet'!E17,0)</f>
        <v>2451.6799999999998</v>
      </c>
      <c r="G6" s="25">
        <f>IFERROR('Data Sheet'!F17,0)</f>
        <v>2903.63</v>
      </c>
      <c r="H6" s="25">
        <f>IFERROR('Data Sheet'!G17,0)</f>
        <v>3605.82</v>
      </c>
      <c r="I6" s="25">
        <f>IFERROR('Data Sheet'!H17,0)</f>
        <v>4062.36</v>
      </c>
      <c r="J6" s="25">
        <f>IFERROR('Data Sheet'!I17,0)</f>
        <v>4429.49</v>
      </c>
      <c r="K6" s="25">
        <f>IFERROR('Data Sheet'!J17,0)</f>
        <v>4753.17</v>
      </c>
      <c r="L6" s="25">
        <f>IFERROR('Data Sheet'!K17,0)</f>
        <v>2698.01</v>
      </c>
      <c r="M6" s="25">
        <f>IFERROR(SUM('Data Sheet'!H42:K42),0)</f>
        <v>2698.01</v>
      </c>
    </row>
    <row r="7" spans="1:13" x14ac:dyDescent="0.3">
      <c r="B7" s="21" t="s">
        <v>22</v>
      </c>
      <c r="C7" s="33" t="s">
        <v>144</v>
      </c>
      <c r="D7" s="22">
        <f>D6/C6-1</f>
        <v>0.26031434782873442</v>
      </c>
      <c r="E7" s="22">
        <f t="shared" ref="E7:L7" si="0">E6/D6-1</f>
        <v>0.1072187862388867</v>
      </c>
      <c r="F7" s="22">
        <f t="shared" si="0"/>
        <v>6.9901811040802952E-2</v>
      </c>
      <c r="G7" s="22">
        <f t="shared" si="0"/>
        <v>0.18434298113946368</v>
      </c>
      <c r="H7" s="22">
        <f t="shared" si="0"/>
        <v>0.24183177608717354</v>
      </c>
      <c r="I7" s="22">
        <f t="shared" si="0"/>
        <v>0.1266119773033596</v>
      </c>
      <c r="J7" s="22">
        <f t="shared" si="0"/>
        <v>9.0373575950924989E-2</v>
      </c>
      <c r="K7" s="22">
        <f t="shared" si="0"/>
        <v>7.3073875321989723E-2</v>
      </c>
      <c r="L7" s="22">
        <f t="shared" si="0"/>
        <v>-0.43237670859657862</v>
      </c>
      <c r="M7" s="22">
        <f>M6/L6-1</f>
        <v>0</v>
      </c>
    </row>
    <row r="9" spans="1:13" x14ac:dyDescent="0.3">
      <c r="B9" t="s">
        <v>80</v>
      </c>
      <c r="C9" s="25">
        <f>IFERROR(SUM('Data Sheet'!B18,'Data Sheet'!B20:B22)-1*'Data Sheet'!B19,0)</f>
        <v>1310.17</v>
      </c>
      <c r="D9" s="25">
        <f>IFERROR(SUM('Data Sheet'!C18,'Data Sheet'!C20:C22)-1*'Data Sheet'!C19,0)</f>
        <v>1566.03</v>
      </c>
      <c r="E9" s="25">
        <f>IFERROR(SUM('Data Sheet'!D18,'Data Sheet'!D20:D22)-1*'Data Sheet'!D19,0)</f>
        <v>1712.6100000000001</v>
      </c>
      <c r="F9" s="25">
        <f>IFERROR(SUM('Data Sheet'!E18,'Data Sheet'!E20:E22)-1*'Data Sheet'!E19,0)</f>
        <v>1772.46</v>
      </c>
      <c r="G9" s="25">
        <f>IFERROR(SUM('Data Sheet'!F18,'Data Sheet'!F20:F22)-1*'Data Sheet'!F19,0)</f>
        <v>2132.9499999999998</v>
      </c>
      <c r="H9" s="25">
        <f>IFERROR(SUM('Data Sheet'!G18,'Data Sheet'!G20:G22)-1*'Data Sheet'!G19,0)</f>
        <v>2604.2500000000005</v>
      </c>
      <c r="I9" s="25">
        <f>IFERROR(SUM('Data Sheet'!H18,'Data Sheet'!H20:H22)-1*'Data Sheet'!H19,0)</f>
        <v>3052.17</v>
      </c>
      <c r="J9" s="25">
        <f>IFERROR(SUM('Data Sheet'!I18,'Data Sheet'!I20:I22)-1*'Data Sheet'!I19,0)</f>
        <v>3275.34</v>
      </c>
      <c r="K9" s="25">
        <f>IFERROR(SUM('Data Sheet'!J18,'Data Sheet'!J20:J22)-1*'Data Sheet'!J19,0)</f>
        <v>3030.43</v>
      </c>
      <c r="L9" s="25">
        <f>IFERROR(SUM('Data Sheet'!K18,'Data Sheet'!K20:K22)-1*'Data Sheet'!K19,0)</f>
        <v>922.36</v>
      </c>
      <c r="M9" s="25">
        <f>IFERROR(SUM('Data Sheet'!H43:K43),0)</f>
        <v>1986.66</v>
      </c>
    </row>
    <row r="10" spans="1:13" x14ac:dyDescent="0.3">
      <c r="B10" s="21" t="s">
        <v>81</v>
      </c>
      <c r="C10" s="22">
        <f>C9/C6</f>
        <v>0.79784791703458313</v>
      </c>
      <c r="D10" s="22">
        <f t="shared" ref="D10:M10" si="1">D9/D6</f>
        <v>0.75668245071511409</v>
      </c>
      <c r="E10" s="22">
        <f t="shared" si="1"/>
        <v>0.7473750818241327</v>
      </c>
      <c r="F10" s="22">
        <f t="shared" si="1"/>
        <v>0.72295731906284677</v>
      </c>
      <c r="G10" s="22">
        <f t="shared" si="1"/>
        <v>0.73458050784707407</v>
      </c>
      <c r="H10" s="22">
        <f t="shared" si="1"/>
        <v>0.72223516426222056</v>
      </c>
      <c r="I10" s="22">
        <f t="shared" si="1"/>
        <v>0.75132927657814663</v>
      </c>
      <c r="J10" s="22">
        <f t="shared" si="1"/>
        <v>0.73943952915572675</v>
      </c>
      <c r="K10" s="22">
        <f t="shared" si="1"/>
        <v>0.63755977589692769</v>
      </c>
      <c r="L10" s="22">
        <f t="shared" si="1"/>
        <v>0.34186678329583653</v>
      </c>
      <c r="M10" s="22">
        <f t="shared" si="1"/>
        <v>0.7363427118505862</v>
      </c>
    </row>
    <row r="12" spans="1:13" x14ac:dyDescent="0.3">
      <c r="B12" s="34" t="s">
        <v>82</v>
      </c>
      <c r="C12" s="35">
        <f>C6-C9</f>
        <v>331.96000000000004</v>
      </c>
      <c r="D12" s="35">
        <f t="shared" ref="D12:M12" si="2">D6-D9</f>
        <v>503.56999999999994</v>
      </c>
      <c r="E12" s="35">
        <f t="shared" si="2"/>
        <v>578.88999999999987</v>
      </c>
      <c r="F12" s="35">
        <f t="shared" si="2"/>
        <v>679.2199999999998</v>
      </c>
      <c r="G12" s="35">
        <f t="shared" si="2"/>
        <v>770.68000000000029</v>
      </c>
      <c r="H12" s="35">
        <f t="shared" si="2"/>
        <v>1001.5699999999997</v>
      </c>
      <c r="I12" s="35">
        <f t="shared" si="2"/>
        <v>1010.19</v>
      </c>
      <c r="J12" s="35">
        <f t="shared" si="2"/>
        <v>1154.1499999999996</v>
      </c>
      <c r="K12" s="35">
        <f t="shared" si="2"/>
        <v>1722.7400000000002</v>
      </c>
      <c r="L12" s="35">
        <f t="shared" si="2"/>
        <v>1775.65</v>
      </c>
      <c r="M12" s="35">
        <f t="shared" si="2"/>
        <v>711.35000000000014</v>
      </c>
    </row>
    <row r="13" spans="1:13" x14ac:dyDescent="0.3">
      <c r="B13" s="21" t="s">
        <v>89</v>
      </c>
      <c r="C13" s="22">
        <f>C12/C6</f>
        <v>0.20215208296541687</v>
      </c>
      <c r="D13" s="22">
        <f t="shared" ref="D13:M13" si="3">D12/D6</f>
        <v>0.24331754928488594</v>
      </c>
      <c r="E13" s="22">
        <f t="shared" si="3"/>
        <v>0.2526249181758673</v>
      </c>
      <c r="F13" s="22">
        <f t="shared" si="3"/>
        <v>0.27704268093715323</v>
      </c>
      <c r="G13" s="22">
        <f t="shared" si="3"/>
        <v>0.26541949215292593</v>
      </c>
      <c r="H13" s="22">
        <f t="shared" si="3"/>
        <v>0.27776483573777938</v>
      </c>
      <c r="I13" s="22">
        <f t="shared" si="3"/>
        <v>0.24867072342185331</v>
      </c>
      <c r="J13" s="22">
        <f t="shared" si="3"/>
        <v>0.2605604708442732</v>
      </c>
      <c r="K13" s="22">
        <f t="shared" si="3"/>
        <v>0.36244022410307231</v>
      </c>
      <c r="L13" s="22">
        <f t="shared" si="3"/>
        <v>0.65813321670416347</v>
      </c>
      <c r="M13" s="22">
        <f t="shared" si="3"/>
        <v>0.26365728814941386</v>
      </c>
    </row>
    <row r="15" spans="1:13" x14ac:dyDescent="0.3">
      <c r="B15" t="s">
        <v>83</v>
      </c>
      <c r="C15" s="25">
        <f>IFERROR(SUM('Data Sheet'!B23:B24),0)</f>
        <v>67.5</v>
      </c>
      <c r="D15" s="25">
        <f>IFERROR(SUM('Data Sheet'!C23:C24),0)</f>
        <v>54.18</v>
      </c>
      <c r="E15" s="25">
        <f>IFERROR(SUM('Data Sheet'!D23:D24),0)</f>
        <v>41.32</v>
      </c>
      <c r="F15" s="25">
        <f>IFERROR(SUM('Data Sheet'!E23:E24),0)</f>
        <v>56.230000000000004</v>
      </c>
      <c r="G15" s="25">
        <f>IFERROR(SUM('Data Sheet'!F23:F24),0)</f>
        <v>71.77</v>
      </c>
      <c r="H15" s="25">
        <f>IFERROR(SUM('Data Sheet'!G23:G24),0)</f>
        <v>199.86</v>
      </c>
      <c r="I15" s="25">
        <f>IFERROR(SUM('Data Sheet'!H23:H24),0)</f>
        <v>92.509999999999991</v>
      </c>
      <c r="J15" s="25">
        <f>IFERROR(SUM('Data Sheet'!I23:I24),0)</f>
        <v>105.16</v>
      </c>
      <c r="K15" s="25">
        <f>IFERROR(SUM('Data Sheet'!J23:J24),0)</f>
        <v>113.11</v>
      </c>
      <c r="L15" s="25">
        <f>IFERROR(SUM('Data Sheet'!K23:K24),0)</f>
        <v>1064.3</v>
      </c>
      <c r="M15" s="25">
        <v>0</v>
      </c>
    </row>
    <row r="16" spans="1:13" x14ac:dyDescent="0.3">
      <c r="B16" s="21" t="s">
        <v>85</v>
      </c>
      <c r="C16" s="22">
        <f t="shared" ref="C16:L16" si="4">C15/C6</f>
        <v>4.1105150018573434E-2</v>
      </c>
      <c r="D16" s="22">
        <f t="shared" si="4"/>
        <v>2.6178971781986859E-2</v>
      </c>
      <c r="E16" s="22">
        <f t="shared" si="4"/>
        <v>1.8031856862317258E-2</v>
      </c>
      <c r="F16" s="22">
        <f t="shared" si="4"/>
        <v>2.2935293349866218E-2</v>
      </c>
      <c r="G16" s="22">
        <f t="shared" si="4"/>
        <v>2.4717336575252356E-2</v>
      </c>
      <c r="H16" s="22">
        <f t="shared" si="4"/>
        <v>5.5427059587001018E-2</v>
      </c>
      <c r="I16" s="22">
        <f t="shared" si="4"/>
        <v>2.2772477082287142E-2</v>
      </c>
      <c r="J16" s="22">
        <f t="shared" si="4"/>
        <v>2.3740882133157542E-2</v>
      </c>
      <c r="K16" s="22">
        <f t="shared" si="4"/>
        <v>2.3796750379220605E-2</v>
      </c>
      <c r="L16" s="22">
        <f t="shared" si="4"/>
        <v>0.39447592855474956</v>
      </c>
      <c r="M16" s="22">
        <v>0</v>
      </c>
    </row>
    <row r="18" spans="2:27" x14ac:dyDescent="0.3">
      <c r="B18" s="34" t="s">
        <v>84</v>
      </c>
      <c r="C18" s="35">
        <f t="shared" ref="C18:M18" si="5">C12-C15</f>
        <v>264.46000000000004</v>
      </c>
      <c r="D18" s="35">
        <f t="shared" si="5"/>
        <v>449.38999999999993</v>
      </c>
      <c r="E18" s="35">
        <f t="shared" si="5"/>
        <v>537.56999999999982</v>
      </c>
      <c r="F18" s="35">
        <f t="shared" si="5"/>
        <v>622.98999999999978</v>
      </c>
      <c r="G18" s="35">
        <f t="shared" si="5"/>
        <v>698.91000000000031</v>
      </c>
      <c r="H18" s="35">
        <f t="shared" si="5"/>
        <v>801.7099999999997</v>
      </c>
      <c r="I18" s="35">
        <f t="shared" si="5"/>
        <v>917.68000000000006</v>
      </c>
      <c r="J18" s="35">
        <f t="shared" si="5"/>
        <v>1048.9899999999996</v>
      </c>
      <c r="K18" s="35">
        <f t="shared" si="5"/>
        <v>1609.6300000000003</v>
      </c>
      <c r="L18" s="35">
        <f t="shared" si="5"/>
        <v>711.35000000000014</v>
      </c>
      <c r="M18" s="35">
        <f t="shared" si="5"/>
        <v>711.35000000000014</v>
      </c>
    </row>
    <row r="19" spans="2:27" x14ac:dyDescent="0.3">
      <c r="B19" s="22" t="s">
        <v>86</v>
      </c>
      <c r="C19" s="22">
        <f t="shared" ref="C19:M19" si="6">C18/C6</f>
        <v>0.16104693294684344</v>
      </c>
      <c r="D19" s="22">
        <f t="shared" si="6"/>
        <v>0.21713857750289908</v>
      </c>
      <c r="E19" s="22">
        <f t="shared" si="6"/>
        <v>0.23459306131355001</v>
      </c>
      <c r="F19" s="22">
        <f t="shared" si="6"/>
        <v>0.25410738758728701</v>
      </c>
      <c r="G19" s="22">
        <f t="shared" si="6"/>
        <v>0.24070215557767355</v>
      </c>
      <c r="H19" s="22">
        <f t="shared" si="6"/>
        <v>0.22233777615077838</v>
      </c>
      <c r="I19" s="22">
        <f t="shared" si="6"/>
        <v>0.22589824633956618</v>
      </c>
      <c r="J19" s="22">
        <f t="shared" si="6"/>
        <v>0.23681958871111564</v>
      </c>
      <c r="K19" s="22">
        <f t="shared" si="6"/>
        <v>0.33864347372385173</v>
      </c>
      <c r="L19" s="22">
        <f t="shared" si="6"/>
        <v>0.26365728814941386</v>
      </c>
      <c r="M19" s="22">
        <f t="shared" si="6"/>
        <v>0.26365728814941386</v>
      </c>
    </row>
    <row r="20" spans="2:27" x14ac:dyDescent="0.3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3" spans="2:27" x14ac:dyDescent="0.3">
      <c r="B23" t="s">
        <v>11</v>
      </c>
      <c r="C23" s="25">
        <f>IFERROR('Data Sheet'!B27,0)</f>
        <v>72.67</v>
      </c>
      <c r="D23" s="25">
        <f>IFERROR('Data Sheet'!C27,0)</f>
        <v>82.5</v>
      </c>
      <c r="E23" s="25">
        <f>IFERROR('Data Sheet'!D27,0)</f>
        <v>89.84</v>
      </c>
      <c r="F23" s="25">
        <f>IFERROR('Data Sheet'!E27,0)</f>
        <v>110.78</v>
      </c>
      <c r="G23" s="25">
        <f>IFERROR('Data Sheet'!F27,0)</f>
        <v>133.21</v>
      </c>
      <c r="H23" s="25">
        <f>IFERROR('Data Sheet'!G27,0)</f>
        <v>151.13999999999999</v>
      </c>
      <c r="I23" s="25">
        <f>IFERROR('Data Sheet'!H27,0)</f>
        <v>153.4</v>
      </c>
      <c r="J23" s="25">
        <f>IFERROR('Data Sheet'!I27,0)</f>
        <v>105.89</v>
      </c>
      <c r="K23" s="25">
        <f>IFERROR('Data Sheet'!J27,0)</f>
        <v>208.01</v>
      </c>
      <c r="L23" s="25">
        <f>IFERROR('Data Sheet'!K27,0)</f>
        <v>211.73</v>
      </c>
      <c r="M23" s="25">
        <f>IFERROR(SUM('Data Sheet'!H46:K46),0)</f>
        <v>211.73000000000002</v>
      </c>
    </row>
    <row r="24" spans="2:27" x14ac:dyDescent="0.3">
      <c r="B24" s="22" t="s">
        <v>87</v>
      </c>
      <c r="C24" s="22">
        <f t="shared" ref="C24:M24" si="7">C23/C6</f>
        <v>4.4253500027403435E-2</v>
      </c>
      <c r="D24" s="22">
        <f t="shared" si="7"/>
        <v>3.9862775415539238E-2</v>
      </c>
      <c r="E24" s="22">
        <f t="shared" si="7"/>
        <v>3.9205760418939563E-2</v>
      </c>
      <c r="F24" s="22">
        <f t="shared" si="7"/>
        <v>4.5185342295895062E-2</v>
      </c>
      <c r="G24" s="22">
        <f t="shared" si="7"/>
        <v>4.5877057338572752E-2</v>
      </c>
      <c r="H24" s="22">
        <f t="shared" si="7"/>
        <v>4.1915569828776804E-2</v>
      </c>
      <c r="I24" s="22">
        <f t="shared" si="7"/>
        <v>3.7761301312537542E-2</v>
      </c>
      <c r="J24" s="22">
        <f t="shared" si="7"/>
        <v>2.3905686659186499E-2</v>
      </c>
      <c r="K24" s="22">
        <f t="shared" si="7"/>
        <v>4.3762373321383413E-2</v>
      </c>
      <c r="L24" s="22">
        <f t="shared" si="7"/>
        <v>7.8476358501265733E-2</v>
      </c>
      <c r="M24" s="22">
        <f t="shared" si="7"/>
        <v>7.8476358501265747E-2</v>
      </c>
    </row>
    <row r="25" spans="2:27" x14ac:dyDescent="0.3">
      <c r="P25" t="s">
        <v>9</v>
      </c>
      <c r="Q25" s="25">
        <f>IFERROR('Data Sheet'!B25,0)</f>
        <v>29.57</v>
      </c>
      <c r="R25" s="25">
        <f>IFERROR('Data Sheet'!C25,0)</f>
        <v>54.94</v>
      </c>
      <c r="S25" s="25">
        <f>IFERROR('Data Sheet'!D25,0)</f>
        <v>74.760000000000005</v>
      </c>
      <c r="T25" s="25">
        <f>IFERROR('Data Sheet'!E25,0)</f>
        <v>66.39</v>
      </c>
      <c r="U25" s="25">
        <f>IFERROR('Data Sheet'!F25,0)</f>
        <v>143.99</v>
      </c>
      <c r="V25" s="25">
        <f>IFERROR('Data Sheet'!G25,0)</f>
        <v>77.73</v>
      </c>
      <c r="W25" s="25">
        <f>IFERROR('Data Sheet'!H25,0)</f>
        <v>97.67</v>
      </c>
      <c r="X25" s="25">
        <f>IFERROR('Data Sheet'!I25,0)</f>
        <v>162.19</v>
      </c>
      <c r="Y25" s="25">
        <f>IFERROR('Data Sheet'!J25,0)</f>
        <v>172.18</v>
      </c>
      <c r="Z25" s="25">
        <f>IFERROR('Data Sheet'!K25,0)</f>
        <v>65.22</v>
      </c>
      <c r="AA25" s="25">
        <f>IFERROR(SUM('Data Sheet'!H44:K44),0)</f>
        <v>65.22999999999999</v>
      </c>
    </row>
    <row r="26" spans="2:27" x14ac:dyDescent="0.3">
      <c r="B26" t="s">
        <v>10</v>
      </c>
      <c r="C26" s="25">
        <f>IFERROR('Data Sheet'!B26,0)</f>
        <v>115.63</v>
      </c>
      <c r="D26" s="25">
        <f>IFERROR('Data Sheet'!C26,0)</f>
        <v>193.6</v>
      </c>
      <c r="E26" s="25">
        <f>IFERROR('Data Sheet'!D26,0)</f>
        <v>230.13</v>
      </c>
      <c r="F26" s="25">
        <f>IFERROR('Data Sheet'!E26,0)</f>
        <v>254.13</v>
      </c>
      <c r="G26" s="25">
        <f>IFERROR('Data Sheet'!F26,0)</f>
        <v>189.9</v>
      </c>
      <c r="H26" s="25">
        <f>IFERROR('Data Sheet'!G26,0)</f>
        <v>164.92</v>
      </c>
      <c r="I26" s="25">
        <f>IFERROR('Data Sheet'!H26,0)</f>
        <v>180.7</v>
      </c>
      <c r="J26" s="25">
        <f>IFERROR('Data Sheet'!I26,0)</f>
        <v>156.83000000000001</v>
      </c>
      <c r="K26" s="25">
        <f>IFERROR('Data Sheet'!J26,0)</f>
        <v>314.22000000000003</v>
      </c>
      <c r="L26" s="25">
        <f>IFERROR('Data Sheet'!K26,0)</f>
        <v>59.46</v>
      </c>
      <c r="M26" s="25">
        <v>0</v>
      </c>
    </row>
    <row r="27" spans="2:27" x14ac:dyDescent="0.3">
      <c r="B27" s="22" t="s">
        <v>88</v>
      </c>
      <c r="C27" s="22">
        <f t="shared" ref="C27:M27" si="8">C26/C6</f>
        <v>7.0414644394779943E-2</v>
      </c>
      <c r="D27" s="22">
        <f t="shared" si="8"/>
        <v>9.3544646308465401E-2</v>
      </c>
      <c r="E27" s="22">
        <f t="shared" si="8"/>
        <v>0.10042766746672485</v>
      </c>
      <c r="F27" s="22">
        <f t="shared" si="8"/>
        <v>0.1036554525876134</v>
      </c>
      <c r="G27" s="22">
        <f t="shared" si="8"/>
        <v>6.5400894742098689E-2</v>
      </c>
      <c r="H27" s="22">
        <f t="shared" si="8"/>
        <v>4.5737169353988825E-2</v>
      </c>
      <c r="I27" s="22">
        <f t="shared" si="8"/>
        <v>4.4481532902056926E-2</v>
      </c>
      <c r="J27" s="22">
        <f t="shared" si="8"/>
        <v>3.5405881941261867E-2</v>
      </c>
      <c r="K27" s="22">
        <f t="shared" si="8"/>
        <v>6.6107460915557414E-2</v>
      </c>
      <c r="L27" s="22">
        <f t="shared" si="8"/>
        <v>2.203846538745223E-2</v>
      </c>
      <c r="M27" s="22">
        <f t="shared" si="8"/>
        <v>0</v>
      </c>
    </row>
    <row r="28" spans="2:27" x14ac:dyDescent="0.3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2:27" x14ac:dyDescent="0.3">
      <c r="B29" s="38" t="s">
        <v>175</v>
      </c>
      <c r="C29" s="37">
        <f>C18-C26</f>
        <v>148.83000000000004</v>
      </c>
      <c r="D29" s="37">
        <f t="shared" ref="D29:M29" si="9">D18-D26</f>
        <v>255.78999999999994</v>
      </c>
      <c r="E29" s="37">
        <f t="shared" si="9"/>
        <v>307.43999999999983</v>
      </c>
      <c r="F29" s="37">
        <f t="shared" si="9"/>
        <v>368.85999999999979</v>
      </c>
      <c r="G29" s="37">
        <f t="shared" si="9"/>
        <v>509.01000000000033</v>
      </c>
      <c r="H29" s="37">
        <f t="shared" si="9"/>
        <v>636.78999999999974</v>
      </c>
      <c r="I29" s="37">
        <f t="shared" si="9"/>
        <v>736.98</v>
      </c>
      <c r="J29" s="37">
        <f t="shared" si="9"/>
        <v>892.15999999999951</v>
      </c>
      <c r="K29" s="37">
        <f t="shared" si="9"/>
        <v>1295.4100000000003</v>
      </c>
      <c r="L29" s="37">
        <f t="shared" si="9"/>
        <v>651.8900000000001</v>
      </c>
      <c r="M29" s="37">
        <f t="shared" si="9"/>
        <v>711.35000000000014</v>
      </c>
    </row>
    <row r="30" spans="2:27" x14ac:dyDescent="0.3">
      <c r="B30" s="22" t="s">
        <v>176</v>
      </c>
      <c r="C30" s="22">
        <f>C29/C6</f>
        <v>9.0632288552063497E-2</v>
      </c>
      <c r="D30" s="22">
        <f t="shared" ref="D30:M30" si="10">D29/D6</f>
        <v>0.12359393119443368</v>
      </c>
      <c r="E30" s="22">
        <f t="shared" si="10"/>
        <v>0.13416539384682516</v>
      </c>
      <c r="F30" s="22">
        <f t="shared" si="10"/>
        <v>0.1504519349996736</v>
      </c>
      <c r="G30" s="22">
        <f t="shared" si="10"/>
        <v>0.1753012608355749</v>
      </c>
      <c r="H30" s="22">
        <f t="shared" si="10"/>
        <v>0.17660060679678954</v>
      </c>
      <c r="I30" s="22">
        <f t="shared" si="10"/>
        <v>0.18141671343750923</v>
      </c>
      <c r="J30" s="22">
        <f t="shared" si="10"/>
        <v>0.20141370676985376</v>
      </c>
      <c r="K30" s="22">
        <f t="shared" si="10"/>
        <v>0.27253601280829431</v>
      </c>
      <c r="L30" s="22">
        <f t="shared" si="10"/>
        <v>0.24161882276196162</v>
      </c>
      <c r="M30" s="22">
        <f t="shared" si="10"/>
        <v>0.26365728814941386</v>
      </c>
    </row>
    <row r="31" spans="2:27" x14ac:dyDescent="0.3">
      <c r="B31" s="36"/>
    </row>
    <row r="32" spans="2:27" x14ac:dyDescent="0.3">
      <c r="B32" s="34" t="s">
        <v>90</v>
      </c>
      <c r="C32" s="35">
        <f>C18-C23-C26</f>
        <v>76.160000000000025</v>
      </c>
      <c r="D32" s="35">
        <f t="shared" ref="D32:M32" si="11">D18-D23-D26</f>
        <v>173.28999999999994</v>
      </c>
      <c r="E32" s="35">
        <f t="shared" si="11"/>
        <v>217.5999999999998</v>
      </c>
      <c r="F32" s="35">
        <f t="shared" si="11"/>
        <v>258.07999999999981</v>
      </c>
      <c r="G32" s="35">
        <f t="shared" si="11"/>
        <v>375.8000000000003</v>
      </c>
      <c r="H32" s="35">
        <f t="shared" si="11"/>
        <v>485.64999999999975</v>
      </c>
      <c r="I32" s="35">
        <f t="shared" si="11"/>
        <v>583.58000000000015</v>
      </c>
      <c r="J32" s="35">
        <f t="shared" si="11"/>
        <v>786.26999999999953</v>
      </c>
      <c r="K32" s="35">
        <f t="shared" si="11"/>
        <v>1087.4000000000003</v>
      </c>
      <c r="L32" s="35">
        <f t="shared" si="11"/>
        <v>440.16000000000014</v>
      </c>
      <c r="M32" s="35">
        <f t="shared" si="11"/>
        <v>499.62000000000012</v>
      </c>
    </row>
    <row r="33" spans="2:13" x14ac:dyDescent="0.3">
      <c r="B33" s="22" t="s">
        <v>91</v>
      </c>
      <c r="C33" s="22">
        <f t="shared" ref="C33:M33" si="12">C32/C6</f>
        <v>4.6378788524660056E-2</v>
      </c>
      <c r="D33" s="22">
        <f t="shared" si="12"/>
        <v>8.373115577889445E-2</v>
      </c>
      <c r="E33" s="22">
        <f t="shared" si="12"/>
        <v>9.4959633427885576E-2</v>
      </c>
      <c r="F33" s="22">
        <f t="shared" si="12"/>
        <v>0.10526659270377857</v>
      </c>
      <c r="G33" s="22">
        <f t="shared" si="12"/>
        <v>0.12942420349700212</v>
      </c>
      <c r="H33" s="22">
        <f t="shared" si="12"/>
        <v>0.13468503696801276</v>
      </c>
      <c r="I33" s="22">
        <f t="shared" si="12"/>
        <v>0.14365541212497174</v>
      </c>
      <c r="J33" s="22">
        <f t="shared" si="12"/>
        <v>0.17750802011066727</v>
      </c>
      <c r="K33" s="22">
        <f t="shared" si="12"/>
        <v>0.2287736394869109</v>
      </c>
      <c r="L33" s="22">
        <f t="shared" si="12"/>
        <v>0.1631424642606959</v>
      </c>
      <c r="M33" s="22">
        <f t="shared" si="12"/>
        <v>0.18518092964814811</v>
      </c>
    </row>
    <row r="35" spans="2:13" x14ac:dyDescent="0.3">
      <c r="B35" s="23" t="s">
        <v>13</v>
      </c>
      <c r="C35" s="25">
        <f>IFERROR('Data Sheet'!B29,0)</f>
        <v>6.99</v>
      </c>
      <c r="D35" s="25">
        <f>IFERROR('Data Sheet'!C29,0)</f>
        <v>-0.73</v>
      </c>
      <c r="E35" s="25">
        <f>IFERROR('Data Sheet'!D29,0)</f>
        <v>27.47</v>
      </c>
      <c r="F35" s="25">
        <f>IFERROR('Data Sheet'!E29,0)</f>
        <v>68.53</v>
      </c>
      <c r="G35" s="25">
        <f>IFERROR('Data Sheet'!F29,0)</f>
        <v>136.96</v>
      </c>
      <c r="H35" s="25">
        <f>IFERROR('Data Sheet'!G29,0)</f>
        <v>196.99</v>
      </c>
      <c r="I35" s="25">
        <f>IFERROR('Data Sheet'!H29,0)</f>
        <v>241.84</v>
      </c>
      <c r="J35" s="25">
        <f>IFERROR('Data Sheet'!I29,0)</f>
        <v>196.17</v>
      </c>
      <c r="K35" s="25">
        <f>IFERROR('Data Sheet'!J29,0)</f>
        <v>257.70999999999998</v>
      </c>
      <c r="L35" s="25">
        <f>IFERROR('Data Sheet'!K29,0)</f>
        <v>85.95</v>
      </c>
      <c r="M35" s="25">
        <f>IFERROR(SUM('Data Sheet'!H48:K48),0)</f>
        <v>85.94</v>
      </c>
    </row>
    <row r="36" spans="2:13" x14ac:dyDescent="0.3">
      <c r="B36" s="22" t="s">
        <v>92</v>
      </c>
      <c r="C36" s="22">
        <f t="shared" ref="C36:M36" si="13">C35/C32</f>
        <v>9.1780462184873929E-2</v>
      </c>
      <c r="D36" s="22">
        <f t="shared" si="13"/>
        <v>-4.2125916094408232E-3</v>
      </c>
      <c r="E36" s="22">
        <f t="shared" si="13"/>
        <v>0.12624080882352953</v>
      </c>
      <c r="F36" s="22">
        <f t="shared" si="13"/>
        <v>0.26553781773093632</v>
      </c>
      <c r="G36" s="22">
        <f t="shared" si="13"/>
        <v>0.3644491750931344</v>
      </c>
      <c r="H36" s="22">
        <f t="shared" si="13"/>
        <v>0.40562133223514901</v>
      </c>
      <c r="I36" s="22">
        <f t="shared" si="13"/>
        <v>0.41440762191987379</v>
      </c>
      <c r="J36" s="22">
        <f t="shared" si="13"/>
        <v>0.24949444847189911</v>
      </c>
      <c r="K36" s="22">
        <f t="shared" si="13"/>
        <v>0.23699650542578618</v>
      </c>
      <c r="L36" s="22">
        <f t="shared" si="13"/>
        <v>0.19526990185387127</v>
      </c>
      <c r="M36" s="22">
        <f t="shared" si="13"/>
        <v>0.17201072815339655</v>
      </c>
    </row>
    <row r="38" spans="2:13" x14ac:dyDescent="0.3">
      <c r="B38" s="34" t="s">
        <v>93</v>
      </c>
      <c r="C38" s="35">
        <f>C32-C35</f>
        <v>69.17000000000003</v>
      </c>
      <c r="D38" s="35">
        <f t="shared" ref="D38:M38" si="14">D32-D35</f>
        <v>174.01999999999992</v>
      </c>
      <c r="E38" s="35">
        <f t="shared" si="14"/>
        <v>190.1299999999998</v>
      </c>
      <c r="F38" s="35">
        <f t="shared" si="14"/>
        <v>189.54999999999981</v>
      </c>
      <c r="G38" s="35">
        <f t="shared" si="14"/>
        <v>238.84000000000029</v>
      </c>
      <c r="H38" s="35">
        <f t="shared" si="14"/>
        <v>288.65999999999974</v>
      </c>
      <c r="I38" s="35">
        <f t="shared" si="14"/>
        <v>341.74000000000012</v>
      </c>
      <c r="J38" s="35">
        <f t="shared" si="14"/>
        <v>590.09999999999957</v>
      </c>
      <c r="K38" s="35">
        <f t="shared" si="14"/>
        <v>829.69000000000028</v>
      </c>
      <c r="L38" s="35">
        <f t="shared" si="14"/>
        <v>354.21000000000015</v>
      </c>
      <c r="M38" s="35">
        <f t="shared" si="14"/>
        <v>413.68000000000012</v>
      </c>
    </row>
    <row r="39" spans="2:13" x14ac:dyDescent="0.3">
      <c r="B39" s="22" t="s">
        <v>94</v>
      </c>
      <c r="C39" s="22">
        <f t="shared" ref="C39:M39" si="15">C38/C6</f>
        <v>4.2122121878292236E-2</v>
      </c>
      <c r="D39" s="22">
        <f t="shared" si="15"/>
        <v>8.4083880943177397E-2</v>
      </c>
      <c r="E39" s="22">
        <f t="shared" si="15"/>
        <v>8.2971852498363433E-2</v>
      </c>
      <c r="F39" s="22">
        <f t="shared" si="15"/>
        <v>7.7314331397245903E-2</v>
      </c>
      <c r="G39" s="22">
        <f t="shared" si="15"/>
        <v>8.2255659295433742E-2</v>
      </c>
      <c r="H39" s="22">
        <f t="shared" si="15"/>
        <v>8.0053912840907127E-2</v>
      </c>
      <c r="I39" s="22">
        <f t="shared" si="15"/>
        <v>8.4123514410342784E-2</v>
      </c>
      <c r="J39" s="22">
        <f t="shared" si="15"/>
        <v>0.13322075453381757</v>
      </c>
      <c r="K39" s="22">
        <f t="shared" si="15"/>
        <v>0.17455508639497436</v>
      </c>
      <c r="L39" s="22">
        <f t="shared" si="15"/>
        <v>0.13128565127631112</v>
      </c>
      <c r="M39" s="22">
        <f t="shared" si="15"/>
        <v>0.15332782309924725</v>
      </c>
    </row>
    <row r="41" spans="2:13" x14ac:dyDescent="0.3">
      <c r="B41" t="s">
        <v>95</v>
      </c>
      <c r="C41" s="25">
        <f>IFERROR('Data Sheet'!B93,0)</f>
        <v>28.12</v>
      </c>
      <c r="D41" s="25">
        <f>IFERROR('Data Sheet'!C93,0)</f>
        <v>28.12</v>
      </c>
      <c r="E41" s="25">
        <f>IFERROR('Data Sheet'!D93,0)</f>
        <v>28.12</v>
      </c>
      <c r="F41" s="25">
        <f>IFERROR('Data Sheet'!E93,0)</f>
        <v>28.12</v>
      </c>
      <c r="G41" s="25">
        <f>IFERROR('Data Sheet'!F93,0)</f>
        <v>28.12</v>
      </c>
      <c r="H41" s="25">
        <f>IFERROR('Data Sheet'!G93,0)</f>
        <v>28.12</v>
      </c>
      <c r="I41" s="25">
        <f>IFERROR('Data Sheet'!H93,0)</f>
        <v>28.12</v>
      </c>
      <c r="J41" s="25">
        <f>IFERROR('Data Sheet'!I93,0)</f>
        <v>28.12</v>
      </c>
      <c r="K41" s="25">
        <f>IFERROR('Data Sheet'!J93,0)</f>
        <v>28.12</v>
      </c>
      <c r="L41" s="25">
        <f>IFERROR('Data Sheet'!K93,0)</f>
        <v>28.12</v>
      </c>
      <c r="M41" s="25">
        <f>IFERROR('Data Sheet'!K93,0)</f>
        <v>28.12</v>
      </c>
    </row>
    <row r="42" spans="2:13" x14ac:dyDescent="0.3"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0"/>
    </row>
    <row r="43" spans="2:13" x14ac:dyDescent="0.3">
      <c r="B43" t="s">
        <v>44</v>
      </c>
      <c r="C43" s="39">
        <f>IFERROR(C38/C41,0)</f>
        <v>2.4598150782361317</v>
      </c>
      <c r="D43" s="39">
        <f t="shared" ref="D43:M43" si="16">IFERROR(D38/D41,0)</f>
        <v>6.1884779516358437</v>
      </c>
      <c r="E43" s="39">
        <f t="shared" si="16"/>
        <v>6.7613798008534776</v>
      </c>
      <c r="F43" s="39">
        <f t="shared" si="16"/>
        <v>6.7407539118065367</v>
      </c>
      <c r="G43" s="39">
        <f t="shared" si="16"/>
        <v>8.4935988620199243</v>
      </c>
      <c r="H43" s="39">
        <f t="shared" si="16"/>
        <v>10.265291607396861</v>
      </c>
      <c r="I43" s="39">
        <f t="shared" si="16"/>
        <v>12.15291607396871</v>
      </c>
      <c r="J43" s="39">
        <f t="shared" si="16"/>
        <v>20.985064011379784</v>
      </c>
      <c r="K43" s="39">
        <f t="shared" si="16"/>
        <v>29.505334281650079</v>
      </c>
      <c r="L43" s="39">
        <f t="shared" si="16"/>
        <v>12.596372688477956</v>
      </c>
      <c r="M43" s="39">
        <f t="shared" si="16"/>
        <v>14.711237553342821</v>
      </c>
    </row>
    <row r="44" spans="2:13" x14ac:dyDescent="0.3">
      <c r="B44" s="22" t="s">
        <v>97</v>
      </c>
      <c r="C44" s="22"/>
      <c r="D44" s="22">
        <f>IFERROR(D43/C43-1,0)</f>
        <v>1.5158305623825337</v>
      </c>
      <c r="E44" s="22">
        <f t="shared" ref="E44:M44" si="17">IFERROR(E43/D43-1,0)</f>
        <v>9.2575566026892764E-2</v>
      </c>
      <c r="F44" s="22">
        <f t="shared" si="17"/>
        <v>-3.050544364382124E-3</v>
      </c>
      <c r="G44" s="22">
        <f t="shared" si="17"/>
        <v>0.26003692957003688</v>
      </c>
      <c r="H44" s="22">
        <f t="shared" si="17"/>
        <v>0.2085915257075841</v>
      </c>
      <c r="I44" s="22">
        <f t="shared" si="17"/>
        <v>0.18388415436846262</v>
      </c>
      <c r="J44" s="22">
        <f t="shared" si="17"/>
        <v>0.72675133142154658</v>
      </c>
      <c r="K44" s="22">
        <f t="shared" si="17"/>
        <v>0.40601592950347554</v>
      </c>
      <c r="L44" s="22">
        <f t="shared" si="17"/>
        <v>-0.57308151237209071</v>
      </c>
      <c r="M44" s="22">
        <f t="shared" si="17"/>
        <v>0.16789475170096835</v>
      </c>
    </row>
    <row r="45" spans="2:13" x14ac:dyDescent="0.3">
      <c r="M45" s="20"/>
    </row>
    <row r="46" spans="2:13" x14ac:dyDescent="0.3">
      <c r="B46" t="s">
        <v>96</v>
      </c>
      <c r="C46" s="25">
        <f>-IFERROR('Data Sheet'!B31/C41,0)</f>
        <v>-0.25</v>
      </c>
      <c r="D46" s="25">
        <f>-IFERROR('Data Sheet'!C31/D41,0)</f>
        <v>-0.19985775248933144</v>
      </c>
      <c r="E46" s="25">
        <f>-IFERROR('Data Sheet'!D31/E41,0)</f>
        <v>-0.19985775248933144</v>
      </c>
      <c r="F46" s="25">
        <f>-IFERROR('Data Sheet'!E31/F41,0)</f>
        <v>-0.25</v>
      </c>
      <c r="G46" s="25">
        <f>-IFERROR('Data Sheet'!F31/G41,0)</f>
        <v>-0.25</v>
      </c>
      <c r="H46" s="25">
        <f>-IFERROR('Data Sheet'!G31/H41,0)</f>
        <v>-0.25</v>
      </c>
      <c r="I46" s="25">
        <f>-IFERROR('Data Sheet'!H31/I41,0)</f>
        <v>-0.25</v>
      </c>
      <c r="J46" s="25">
        <f>-IFERROR('Data Sheet'!I31/J41,0)</f>
        <v>-0.25</v>
      </c>
      <c r="K46" s="25">
        <f>-IFERROR('Data Sheet'!J31/K41,0)</f>
        <v>-0.25</v>
      </c>
      <c r="L46" s="25">
        <f>-IFERROR('Data Sheet'!K31/L41,0)</f>
        <v>-0.25</v>
      </c>
      <c r="M46" s="25">
        <f>-IFERROR('Data Sheet'!L31/M41,0)</f>
        <v>0</v>
      </c>
    </row>
    <row r="47" spans="2:13" x14ac:dyDescent="0.3">
      <c r="B47" s="22" t="s">
        <v>98</v>
      </c>
      <c r="C47" s="22">
        <f>IFERROR(C46/C43,0)</f>
        <v>-0.10163365620933927</v>
      </c>
      <c r="D47" s="22">
        <f t="shared" ref="D47:M47" si="18">IFERROR(D46/D43,0)</f>
        <v>-3.2295138489828769E-2</v>
      </c>
      <c r="E47" s="22">
        <f t="shared" si="18"/>
        <v>-2.9558722979014393E-2</v>
      </c>
      <c r="F47" s="22">
        <f t="shared" si="18"/>
        <v>-3.7087839620153031E-2</v>
      </c>
      <c r="G47" s="22">
        <f t="shared" si="18"/>
        <v>-2.9433930664880221E-2</v>
      </c>
      <c r="H47" s="22">
        <f t="shared" si="18"/>
        <v>-2.4353911175777752E-2</v>
      </c>
      <c r="I47" s="22">
        <f>IFERROR(I46/I43,0)</f>
        <v>-2.0571194475332118E-2</v>
      </c>
      <c r="J47" s="22">
        <f t="shared" si="18"/>
        <v>-1.1913235044907652E-2</v>
      </c>
      <c r="K47" s="22">
        <f t="shared" si="18"/>
        <v>-8.473044149019511E-3</v>
      </c>
      <c r="L47" s="22">
        <f t="shared" si="18"/>
        <v>-1.9846983427909991E-2</v>
      </c>
      <c r="M47" s="22">
        <f t="shared" si="18"/>
        <v>0</v>
      </c>
    </row>
    <row r="49" spans="1:13" x14ac:dyDescent="0.3">
      <c r="B49" t="s">
        <v>99</v>
      </c>
      <c r="C49" s="27">
        <f>IFERROR(IF(C43&gt;C46,1-C47,0),0)</f>
        <v>1.1016336562093392</v>
      </c>
      <c r="D49" s="40">
        <f t="shared" ref="D49:M49" si="19">IFERROR(IF(D43&gt;D46,1-D47,0),0)</f>
        <v>1.0322951384898287</v>
      </c>
      <c r="E49" s="40">
        <f t="shared" si="19"/>
        <v>1.0295587229790144</v>
      </c>
      <c r="F49" s="40">
        <f t="shared" si="19"/>
        <v>1.0370878396201531</v>
      </c>
      <c r="G49" s="40">
        <f t="shared" si="19"/>
        <v>1.0294339306648803</v>
      </c>
      <c r="H49" s="40">
        <f t="shared" si="19"/>
        <v>1.0243539111757778</v>
      </c>
      <c r="I49" s="40">
        <f t="shared" si="19"/>
        <v>1.0205711944753322</v>
      </c>
      <c r="J49" s="40">
        <f t="shared" si="19"/>
        <v>1.0119132350449076</v>
      </c>
      <c r="K49" s="40">
        <f t="shared" si="19"/>
        <v>1.0084730441490195</v>
      </c>
      <c r="L49" s="40">
        <f t="shared" si="19"/>
        <v>1.01984698342791</v>
      </c>
      <c r="M49" s="40">
        <f t="shared" si="19"/>
        <v>1</v>
      </c>
    </row>
    <row r="51" spans="1:13" x14ac:dyDescent="0.3">
      <c r="A51" t="s">
        <v>79</v>
      </c>
      <c r="B51" s="24" t="s">
        <v>100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3" spans="1:13" x14ac:dyDescent="0.3">
      <c r="B53" t="s">
        <v>24</v>
      </c>
      <c r="C53" s="25">
        <f>IFERROR('Data Sheet'!B57,0)</f>
        <v>28.12</v>
      </c>
      <c r="D53" s="25">
        <f>IFERROR('Data Sheet'!C57,0)</f>
        <v>28.12</v>
      </c>
      <c r="E53" s="25">
        <f>IFERROR('Data Sheet'!D57,0)</f>
        <v>28.12</v>
      </c>
      <c r="F53" s="25">
        <f>IFERROR('Data Sheet'!E57,0)</f>
        <v>28.12</v>
      </c>
      <c r="G53" s="25">
        <f>IFERROR('Data Sheet'!F57,0)</f>
        <v>56.25</v>
      </c>
      <c r="H53" s="25">
        <f>IFERROR('Data Sheet'!G57,0)</f>
        <v>56.25</v>
      </c>
      <c r="I53" s="25">
        <f>IFERROR('Data Sheet'!H57,0)</f>
        <v>56.25</v>
      </c>
      <c r="J53" s="25">
        <f>IFERROR('Data Sheet'!I57,0)</f>
        <v>56.25</v>
      </c>
      <c r="K53" s="25">
        <f>IFERROR('Data Sheet'!J57,0)</f>
        <v>56.25</v>
      </c>
      <c r="L53" s="25">
        <f>IFERROR('Data Sheet'!K57,0)</f>
        <v>56.25</v>
      </c>
    </row>
    <row r="54" spans="1:13" x14ac:dyDescent="0.3">
      <c r="B54" t="s">
        <v>25</v>
      </c>
      <c r="C54" s="25">
        <f>IFERROR('Data Sheet'!B58,0)</f>
        <v>785.8</v>
      </c>
      <c r="D54" s="25">
        <f>IFERROR('Data Sheet'!C58,0)</f>
        <v>1019.64</v>
      </c>
      <c r="E54" s="25">
        <f>IFERROR('Data Sheet'!D58,0)</f>
        <v>1282.7</v>
      </c>
      <c r="F54" s="25">
        <f>IFERROR('Data Sheet'!E58,0)</f>
        <v>1532.54</v>
      </c>
      <c r="G54" s="25">
        <f>IFERROR('Data Sheet'!F58,0)</f>
        <v>1911.57</v>
      </c>
      <c r="H54" s="25">
        <f>IFERROR('Data Sheet'!G58,0)</f>
        <v>2271.46</v>
      </c>
      <c r="I54" s="25">
        <f>IFERROR('Data Sheet'!H58,0)</f>
        <v>2722.95</v>
      </c>
      <c r="J54" s="25">
        <f>IFERROR('Data Sheet'!I58,0)</f>
        <v>3497.9</v>
      </c>
      <c r="K54" s="25">
        <f>IFERROR('Data Sheet'!J58,0)</f>
        <v>4484.93</v>
      </c>
      <c r="L54" s="25">
        <f>IFERROR('Data Sheet'!K58,0)</f>
        <v>4915.74</v>
      </c>
    </row>
    <row r="55" spans="1:13" x14ac:dyDescent="0.3">
      <c r="B55" t="s">
        <v>56</v>
      </c>
      <c r="C55" s="25">
        <f>IFERROR('Data Sheet'!B59,0)</f>
        <v>721.14</v>
      </c>
      <c r="D55" s="25">
        <f>IFERROR('Data Sheet'!C59,0)</f>
        <v>770.4</v>
      </c>
      <c r="E55" s="25">
        <f>IFERROR('Data Sheet'!D59,0)</f>
        <v>758.21</v>
      </c>
      <c r="F55" s="25">
        <f>IFERROR('Data Sheet'!E59,0)</f>
        <v>874.54</v>
      </c>
      <c r="G55" s="25">
        <f>IFERROR('Data Sheet'!F59,0)</f>
        <v>764.37</v>
      </c>
      <c r="H55" s="25">
        <f>IFERROR('Data Sheet'!G59,0)</f>
        <v>1463.54</v>
      </c>
      <c r="I55" s="25">
        <f>IFERROR('Data Sheet'!H59,0)</f>
        <v>652.05999999999995</v>
      </c>
      <c r="J55" s="25">
        <f>IFERROR('Data Sheet'!I59,0)</f>
        <v>1262.44</v>
      </c>
      <c r="K55" s="25">
        <f>IFERROR('Data Sheet'!J59,0)</f>
        <v>1849.47</v>
      </c>
      <c r="L55" s="25">
        <f>IFERROR('Data Sheet'!K59,0)</f>
        <v>2444.25</v>
      </c>
    </row>
    <row r="56" spans="1:13" x14ac:dyDescent="0.3">
      <c r="B56" t="s">
        <v>57</v>
      </c>
      <c r="C56" s="25">
        <f>IFERROR('Data Sheet'!B60,0)</f>
        <v>707.13</v>
      </c>
      <c r="D56" s="25">
        <f>IFERROR('Data Sheet'!C60,0)</f>
        <v>789.82</v>
      </c>
      <c r="E56" s="25">
        <f>IFERROR('Data Sheet'!D60,0)</f>
        <v>660.03</v>
      </c>
      <c r="F56" s="25">
        <f>IFERROR('Data Sheet'!E60,0)</f>
        <v>1068.1400000000001</v>
      </c>
      <c r="G56" s="25">
        <f>IFERROR('Data Sheet'!F60,0)</f>
        <v>1274.99</v>
      </c>
      <c r="H56" s="25">
        <f>IFERROR('Data Sheet'!G60,0)</f>
        <v>1479.08</v>
      </c>
      <c r="I56" s="25">
        <f>IFERROR('Data Sheet'!H60,0)</f>
        <v>910.75</v>
      </c>
      <c r="J56" s="25">
        <f>IFERROR('Data Sheet'!I60,0)</f>
        <v>987.2</v>
      </c>
      <c r="K56" s="25">
        <f>IFERROR('Data Sheet'!J60,0)</f>
        <v>740.71</v>
      </c>
      <c r="L56" s="25">
        <f>IFERROR('Data Sheet'!K60,0)</f>
        <v>705.31</v>
      </c>
    </row>
    <row r="57" spans="1:13" x14ac:dyDescent="0.3">
      <c r="B57" s="34" t="s">
        <v>101</v>
      </c>
      <c r="C57" s="35">
        <f>IFERROR('Data Sheet'!B61,0)</f>
        <v>2242.19</v>
      </c>
      <c r="D57" s="35">
        <f>IFERROR('Data Sheet'!C61,0)</f>
        <v>2607.98</v>
      </c>
      <c r="E57" s="35">
        <f>IFERROR('Data Sheet'!D61,0)</f>
        <v>2729.06</v>
      </c>
      <c r="F57" s="35">
        <f>IFERROR('Data Sheet'!E61,0)</f>
        <v>3503.34</v>
      </c>
      <c r="G57" s="35">
        <f>IFERROR('Data Sheet'!F61,0)</f>
        <v>4007.18</v>
      </c>
      <c r="H57" s="35">
        <f>IFERROR('Data Sheet'!G61,0)</f>
        <v>5270.33</v>
      </c>
      <c r="I57" s="35">
        <f>IFERROR('Data Sheet'!H61,0)</f>
        <v>4342.01</v>
      </c>
      <c r="J57" s="35">
        <f>IFERROR('Data Sheet'!I61,0)</f>
        <v>5803.79</v>
      </c>
      <c r="K57" s="35">
        <f>IFERROR('Data Sheet'!J61,0)</f>
        <v>7131.36</v>
      </c>
      <c r="L57" s="35">
        <f>IFERROR('Data Sheet'!K61,0)</f>
        <v>8121.55</v>
      </c>
    </row>
    <row r="59" spans="1:13" x14ac:dyDescent="0.3">
      <c r="B59" t="s">
        <v>102</v>
      </c>
      <c r="C59" s="25">
        <f>IFERROR('Data Sheet'!B62,0)</f>
        <v>1228.44</v>
      </c>
      <c r="D59" s="25">
        <f>IFERROR('Data Sheet'!C62,0)</f>
        <v>1341.35</v>
      </c>
      <c r="E59" s="25">
        <f>IFERROR('Data Sheet'!D62,0)</f>
        <v>1320.52</v>
      </c>
      <c r="F59" s="25">
        <f>IFERROR('Data Sheet'!E62,0)</f>
        <v>1274.82</v>
      </c>
      <c r="G59" s="25">
        <f>IFERROR('Data Sheet'!F62,0)</f>
        <v>776</v>
      </c>
      <c r="H59" s="25">
        <f>IFERROR('Data Sheet'!G62,0)</f>
        <v>889.9</v>
      </c>
      <c r="I59" s="25">
        <f>IFERROR('Data Sheet'!H62,0)</f>
        <v>890.49</v>
      </c>
      <c r="J59" s="25">
        <f>IFERROR('Data Sheet'!I62,0)</f>
        <v>806.36</v>
      </c>
      <c r="K59" s="25">
        <f>IFERROR('Data Sheet'!J62,0)</f>
        <v>482.46</v>
      </c>
      <c r="L59" s="25">
        <f>IFERROR('Data Sheet'!K62,0)</f>
        <v>428.92</v>
      </c>
    </row>
    <row r="60" spans="1:13" x14ac:dyDescent="0.3">
      <c r="B60" t="s">
        <v>28</v>
      </c>
      <c r="C60" s="25">
        <f>IFERROR('Data Sheet'!B63,0)</f>
        <v>91.26</v>
      </c>
      <c r="D60" s="25">
        <f>IFERROR('Data Sheet'!C63,0)</f>
        <v>1.1499999999999999</v>
      </c>
      <c r="E60" s="25">
        <f>IFERROR('Data Sheet'!D63,0)</f>
        <v>0.01</v>
      </c>
      <c r="F60" s="25">
        <f>IFERROR('Data Sheet'!E63,0)</f>
        <v>10.15</v>
      </c>
      <c r="G60" s="25">
        <f>IFERROR('Data Sheet'!F63,0)</f>
        <v>2.38</v>
      </c>
      <c r="H60" s="25">
        <f>IFERROR('Data Sheet'!G63,0)</f>
        <v>20.62</v>
      </c>
      <c r="I60" s="25">
        <f>IFERROR('Data Sheet'!H63,0)</f>
        <v>2.5099999999999998</v>
      </c>
      <c r="J60" s="25">
        <f>IFERROR('Data Sheet'!I63,0)</f>
        <v>2.1800000000000002</v>
      </c>
      <c r="K60" s="25">
        <f>IFERROR('Data Sheet'!J63,0)</f>
        <v>0.41</v>
      </c>
      <c r="L60" s="25">
        <f>IFERROR('Data Sheet'!K63,0)</f>
        <v>0.12</v>
      </c>
    </row>
    <row r="61" spans="1:13" x14ac:dyDescent="0.3">
      <c r="B61" t="s">
        <v>29</v>
      </c>
      <c r="C61" s="25">
        <f>IFERROR('Data Sheet'!B64,0)</f>
        <v>73.59</v>
      </c>
      <c r="D61" s="25">
        <f>IFERROR('Data Sheet'!C64,0)</f>
        <v>52.67</v>
      </c>
      <c r="E61" s="25">
        <f>IFERROR('Data Sheet'!D64,0)</f>
        <v>51.93</v>
      </c>
      <c r="F61" s="25">
        <f>IFERROR('Data Sheet'!E64,0)</f>
        <v>65.84</v>
      </c>
      <c r="G61" s="25">
        <f>IFERROR('Data Sheet'!F64,0)</f>
        <v>61.67</v>
      </c>
      <c r="H61" s="25">
        <f>IFERROR('Data Sheet'!G64,0)</f>
        <v>73.260000000000005</v>
      </c>
      <c r="I61" s="25">
        <f>IFERROR('Data Sheet'!H64,0)</f>
        <v>72.349999999999994</v>
      </c>
      <c r="J61" s="25">
        <f>IFERROR('Data Sheet'!I64,0)</f>
        <v>115.19</v>
      </c>
      <c r="K61" s="25">
        <f>IFERROR('Data Sheet'!J64,0)</f>
        <v>115.82</v>
      </c>
      <c r="L61" s="25">
        <f>IFERROR('Data Sheet'!K64,0)</f>
        <v>319.44</v>
      </c>
    </row>
    <row r="62" spans="1:13" x14ac:dyDescent="0.3">
      <c r="B62" t="s">
        <v>58</v>
      </c>
      <c r="C62" s="25">
        <f>IFERROR('Data Sheet'!B65-SUM('Data Sheet'!B67:B69),0)</f>
        <v>552.8599999999999</v>
      </c>
      <c r="D62" s="25">
        <f>IFERROR('Data Sheet'!C65-SUM('Data Sheet'!C67:C69),0)</f>
        <v>816.63999999999987</v>
      </c>
      <c r="E62" s="25">
        <f>IFERROR('Data Sheet'!D65-SUM('Data Sheet'!D67:D69),0)</f>
        <v>1131.1399999999999</v>
      </c>
      <c r="F62" s="25">
        <f>IFERROR('Data Sheet'!E65-SUM('Data Sheet'!E67:E69),0)</f>
        <v>1771.8500000000001</v>
      </c>
      <c r="G62" s="25">
        <f>IFERROR('Data Sheet'!F65-SUM('Data Sheet'!F67:F69),0)</f>
        <v>2538.4300000000003</v>
      </c>
      <c r="H62" s="25">
        <f>IFERROR('Data Sheet'!G65-SUM('Data Sheet'!G67:G69),0)</f>
        <v>3201.53</v>
      </c>
      <c r="I62" s="25">
        <f>IFERROR('Data Sheet'!H65-SUM('Data Sheet'!H67:H69),0)</f>
        <v>2299.33</v>
      </c>
      <c r="J62" s="25">
        <f>IFERROR('Data Sheet'!I65-SUM('Data Sheet'!I67:I69),0)</f>
        <v>3574.3200000000006</v>
      </c>
      <c r="K62" s="25">
        <f>IFERROR('Data Sheet'!J65-SUM('Data Sheet'!J67:J69),0)</f>
        <v>5128.62</v>
      </c>
      <c r="L62" s="25">
        <f>IFERROR('Data Sheet'!K65-SUM('Data Sheet'!K67:K69),0)</f>
        <v>6054.61</v>
      </c>
    </row>
    <row r="63" spans="1:13" x14ac:dyDescent="0.3">
      <c r="B63" s="34" t="s">
        <v>104</v>
      </c>
      <c r="C63" s="35">
        <f>SUM(C59:C62)</f>
        <v>1946.1499999999999</v>
      </c>
      <c r="D63" s="35">
        <f t="shared" ref="D63:L63" si="20">SUM(D59:D62)</f>
        <v>2211.81</v>
      </c>
      <c r="E63" s="35">
        <f t="shared" si="20"/>
        <v>2503.6</v>
      </c>
      <c r="F63" s="35">
        <f t="shared" si="20"/>
        <v>3122.66</v>
      </c>
      <c r="G63" s="35">
        <f t="shared" si="20"/>
        <v>3378.4800000000005</v>
      </c>
      <c r="H63" s="35">
        <f t="shared" si="20"/>
        <v>4185.3100000000004</v>
      </c>
      <c r="I63" s="35">
        <f t="shared" si="20"/>
        <v>3264.68</v>
      </c>
      <c r="J63" s="35">
        <f t="shared" si="20"/>
        <v>4498.0500000000011</v>
      </c>
      <c r="K63" s="35">
        <f t="shared" si="20"/>
        <v>5727.3099999999995</v>
      </c>
      <c r="L63" s="35">
        <f t="shared" si="20"/>
        <v>6803.09</v>
      </c>
    </row>
    <row r="65" spans="1:13" x14ac:dyDescent="0.3">
      <c r="B65" t="s">
        <v>63</v>
      </c>
      <c r="C65" s="25">
        <f>IFERROR('Data Sheet'!B67,0)</f>
        <v>181.69</v>
      </c>
      <c r="D65" s="25">
        <f>IFERROR('Data Sheet'!C67,0)</f>
        <v>269.14</v>
      </c>
      <c r="E65" s="25">
        <f>IFERROR('Data Sheet'!D67,0)</f>
        <v>96.8</v>
      </c>
      <c r="F65" s="25">
        <f>IFERROR('Data Sheet'!E67,0)</f>
        <v>174.65</v>
      </c>
      <c r="G65" s="25">
        <f>IFERROR('Data Sheet'!F67,0)</f>
        <v>332.87</v>
      </c>
      <c r="H65" s="25">
        <f>IFERROR('Data Sheet'!G67,0)</f>
        <v>598.41</v>
      </c>
      <c r="I65" s="25">
        <f>IFERROR('Data Sheet'!H67,0)</f>
        <v>622.9</v>
      </c>
      <c r="J65" s="25">
        <f>IFERROR('Data Sheet'!I67,0)</f>
        <v>673.98</v>
      </c>
      <c r="K65" s="25">
        <f>IFERROR('Data Sheet'!J67,0)</f>
        <v>921.12</v>
      </c>
      <c r="L65" s="25">
        <f>IFERROR('Data Sheet'!K67,0)</f>
        <v>808.36</v>
      </c>
    </row>
    <row r="66" spans="1:13" x14ac:dyDescent="0.3">
      <c r="B66" t="s">
        <v>43</v>
      </c>
      <c r="C66" s="25">
        <f>IFERROR('Data Sheet'!B68,0)</f>
        <v>80.540000000000006</v>
      </c>
      <c r="D66" s="25">
        <f>IFERROR('Data Sheet'!C68,0)</f>
        <v>75.05</v>
      </c>
      <c r="E66" s="25">
        <f>IFERROR('Data Sheet'!D68,0)</f>
        <v>101.19</v>
      </c>
      <c r="F66" s="25">
        <f>IFERROR('Data Sheet'!E68,0)</f>
        <v>123.16</v>
      </c>
      <c r="G66" s="25">
        <f>IFERROR('Data Sheet'!F68,0)</f>
        <v>147.99</v>
      </c>
      <c r="H66" s="25">
        <f>IFERROR('Data Sheet'!G68,0)</f>
        <v>227.41</v>
      </c>
      <c r="I66" s="25">
        <f>IFERROR('Data Sheet'!H68,0)</f>
        <v>234.23</v>
      </c>
      <c r="J66" s="25">
        <f>IFERROR('Data Sheet'!I68,0)</f>
        <v>220.87</v>
      </c>
      <c r="K66" s="25">
        <f>IFERROR('Data Sheet'!J68,0)</f>
        <v>160.41</v>
      </c>
      <c r="L66" s="25">
        <f>IFERROR('Data Sheet'!K68,0)</f>
        <v>132.81</v>
      </c>
    </row>
    <row r="67" spans="1:13" x14ac:dyDescent="0.3">
      <c r="B67" t="s">
        <v>72</v>
      </c>
      <c r="C67" s="25">
        <f>IFERROR('Data Sheet'!B69,0)</f>
        <v>33.81</v>
      </c>
      <c r="D67" s="25">
        <f>IFERROR('Data Sheet'!C69,0)</f>
        <v>51.98</v>
      </c>
      <c r="E67" s="25">
        <f>IFERROR('Data Sheet'!D69,0)</f>
        <v>27.47</v>
      </c>
      <c r="F67" s="25">
        <f>IFERROR('Data Sheet'!E69,0)</f>
        <v>82.87</v>
      </c>
      <c r="G67" s="25">
        <f>IFERROR('Data Sheet'!F69,0)</f>
        <v>147.84</v>
      </c>
      <c r="H67" s="25">
        <f>IFERROR('Data Sheet'!G69,0)</f>
        <v>259.2</v>
      </c>
      <c r="I67" s="25">
        <f>IFERROR('Data Sheet'!H69,0)</f>
        <v>220.2</v>
      </c>
      <c r="J67" s="25">
        <f>IFERROR('Data Sheet'!I69,0)</f>
        <v>410.89</v>
      </c>
      <c r="K67" s="25">
        <f>IFERROR('Data Sheet'!J69,0)</f>
        <v>322.52</v>
      </c>
      <c r="L67" s="25">
        <f>IFERROR('Data Sheet'!K69,0)</f>
        <v>377.29</v>
      </c>
    </row>
    <row r="68" spans="1:13" x14ac:dyDescent="0.3">
      <c r="B68" t="s">
        <v>105</v>
      </c>
      <c r="C68" s="28">
        <f>IFERROR(SUM(C65:C67),0)</f>
        <v>296.04000000000002</v>
      </c>
      <c r="D68" s="28">
        <f t="shared" ref="D68:L68" si="21">IFERROR(SUM(D65:D67),0)</f>
        <v>396.17</v>
      </c>
      <c r="E68" s="28">
        <f t="shared" si="21"/>
        <v>225.46</v>
      </c>
      <c r="F68" s="28">
        <f t="shared" si="21"/>
        <v>380.68</v>
      </c>
      <c r="G68" s="28">
        <f t="shared" si="21"/>
        <v>628.70000000000005</v>
      </c>
      <c r="H68" s="28">
        <f t="shared" si="21"/>
        <v>1085.02</v>
      </c>
      <c r="I68" s="28">
        <f t="shared" si="21"/>
        <v>1077.33</v>
      </c>
      <c r="J68" s="28">
        <f t="shared" si="21"/>
        <v>1305.74</v>
      </c>
      <c r="K68" s="28">
        <f t="shared" si="21"/>
        <v>1404.05</v>
      </c>
      <c r="L68" s="28">
        <f t="shared" si="21"/>
        <v>1318.46</v>
      </c>
    </row>
    <row r="69" spans="1:13" x14ac:dyDescent="0.3"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3" x14ac:dyDescent="0.3">
      <c r="B70" s="34" t="s">
        <v>103</v>
      </c>
      <c r="C70" s="35">
        <f>IFERROR(C68+C63,0)</f>
        <v>2242.19</v>
      </c>
      <c r="D70" s="35">
        <f t="shared" ref="D70:L70" si="22">IFERROR(D68+D63,0)</f>
        <v>2607.98</v>
      </c>
      <c r="E70" s="35">
        <f t="shared" si="22"/>
        <v>2729.06</v>
      </c>
      <c r="F70" s="35">
        <f t="shared" si="22"/>
        <v>3503.3399999999997</v>
      </c>
      <c r="G70" s="35">
        <f t="shared" si="22"/>
        <v>4007.1800000000003</v>
      </c>
      <c r="H70" s="35">
        <f t="shared" si="22"/>
        <v>5270.33</v>
      </c>
      <c r="I70" s="35">
        <f t="shared" si="22"/>
        <v>4342.01</v>
      </c>
      <c r="J70" s="35">
        <f t="shared" si="22"/>
        <v>5803.7900000000009</v>
      </c>
      <c r="K70" s="35">
        <f t="shared" si="22"/>
        <v>7131.36</v>
      </c>
      <c r="L70" s="35">
        <f t="shared" si="22"/>
        <v>8121.55</v>
      </c>
    </row>
    <row r="72" spans="1:13" x14ac:dyDescent="0.3">
      <c r="B72" t="s">
        <v>106</v>
      </c>
      <c r="C72" t="b">
        <f>C70=C57</f>
        <v>1</v>
      </c>
      <c r="D72" t="b">
        <f t="shared" ref="D72:L72" si="23">D70=D57</f>
        <v>1</v>
      </c>
      <c r="E72" t="b">
        <f t="shared" si="23"/>
        <v>1</v>
      </c>
      <c r="F72" t="b">
        <f t="shared" si="23"/>
        <v>1</v>
      </c>
      <c r="G72" t="b">
        <f t="shared" si="23"/>
        <v>1</v>
      </c>
      <c r="H72" t="b">
        <f t="shared" si="23"/>
        <v>1</v>
      </c>
      <c r="I72" t="b">
        <f t="shared" si="23"/>
        <v>1</v>
      </c>
      <c r="J72" t="b">
        <f t="shared" si="23"/>
        <v>1</v>
      </c>
      <c r="K72" t="b">
        <f t="shared" si="23"/>
        <v>1</v>
      </c>
      <c r="L72" t="b">
        <f t="shared" si="23"/>
        <v>1</v>
      </c>
    </row>
    <row r="74" spans="1:13" x14ac:dyDescent="0.3">
      <c r="A74" s="32" t="s">
        <v>79</v>
      </c>
      <c r="B74" s="24" t="s">
        <v>137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spans="1:13" x14ac:dyDescent="0.3">
      <c r="B75" s="2" t="s">
        <v>139</v>
      </c>
    </row>
    <row r="76" spans="1:13" x14ac:dyDescent="0.3">
      <c r="B76" t="s">
        <v>107</v>
      </c>
      <c r="C76" s="25">
        <f>IFERROR('CashFlow Data'!C4,0)</f>
        <v>28840</v>
      </c>
      <c r="D76" s="25">
        <f>IFERROR('CashFlow Data'!D4,0)</f>
        <v>33312</v>
      </c>
      <c r="E76" s="25">
        <f>IFERROR('CashFlow Data'!E4,0)</f>
        <v>28771</v>
      </c>
      <c r="F76" s="25">
        <f>IFERROR('CashFlow Data'!F4,0)</f>
        <v>23352</v>
      </c>
      <c r="G76" s="25">
        <f>IFERROR('CashFlow Data'!G4,0)</f>
        <v>31198</v>
      </c>
      <c r="H76" s="25">
        <f>IFERROR('CashFlow Data'!H4,0)</f>
        <v>26943</v>
      </c>
      <c r="I76" s="25">
        <f>IFERROR('CashFlow Data'!I4,0)</f>
        <v>41694</v>
      </c>
      <c r="J76" s="25">
        <f>IFERROR('CashFlow Data'!J4,0)</f>
        <v>65106</v>
      </c>
      <c r="K76" s="25">
        <f>IFERROR('CashFlow Data'!K4,0)</f>
        <v>58937</v>
      </c>
      <c r="L76" s="25">
        <f>IFERROR('CashFlow Data'!L4,0)</f>
        <v>25393</v>
      </c>
    </row>
    <row r="77" spans="1:13" x14ac:dyDescent="0.3">
      <c r="B77" t="s">
        <v>63</v>
      </c>
      <c r="C77" s="25">
        <f>IFERROR('CashFlow Data'!C5,0)</f>
        <v>-4152</v>
      </c>
      <c r="D77" s="25">
        <f>IFERROR('CashFlow Data'!D5,0)</f>
        <v>-10688</v>
      </c>
      <c r="E77" s="25">
        <f>IFERROR('CashFlow Data'!E5,0)</f>
        <v>-9109</v>
      </c>
      <c r="F77" s="25">
        <f>IFERROR('CashFlow Data'!F5,0)</f>
        <v>9950</v>
      </c>
      <c r="G77" s="25">
        <f>IFERROR('CashFlow Data'!G5,0)</f>
        <v>-5505</v>
      </c>
      <c r="H77" s="25">
        <f>IFERROR('CashFlow Data'!H5,0)</f>
        <v>185</v>
      </c>
      <c r="I77" s="25">
        <f>IFERROR('CashFlow Data'!I5,0)</f>
        <v>-2213</v>
      </c>
      <c r="J77" s="25">
        <f>IFERROR('CashFlow Data'!J5,0)</f>
        <v>-1876</v>
      </c>
      <c r="K77" s="25">
        <f>IFERROR('CashFlow Data'!K5,0)</f>
        <v>3573</v>
      </c>
      <c r="L77" s="25">
        <f>IFERROR('CashFlow Data'!L5,0)</f>
        <v>-1587</v>
      </c>
    </row>
    <row r="78" spans="1:13" x14ac:dyDescent="0.3">
      <c r="B78" t="s">
        <v>43</v>
      </c>
      <c r="C78" s="25">
        <f>IFERROR('CashFlow Data'!C6,0)</f>
        <v>-6621</v>
      </c>
      <c r="D78" s="25">
        <f>IFERROR('CashFlow Data'!D6,0)</f>
        <v>-3560</v>
      </c>
      <c r="E78" s="25">
        <f>IFERROR('CashFlow Data'!E6,0)</f>
        <v>2069</v>
      </c>
      <c r="F78" s="25">
        <f>IFERROR('CashFlow Data'!F6,0)</f>
        <v>2326</v>
      </c>
      <c r="G78" s="25">
        <f>IFERROR('CashFlow Data'!G6,0)</f>
        <v>3814</v>
      </c>
      <c r="H78" s="25">
        <f>IFERROR('CashFlow Data'!H6,0)</f>
        <v>472</v>
      </c>
      <c r="I78" s="25">
        <f>IFERROR('CashFlow Data'!I6,0)</f>
        <v>-5665</v>
      </c>
      <c r="J78" s="25">
        <f>IFERROR('CashFlow Data'!J6,0)</f>
        <v>-7265</v>
      </c>
      <c r="K78" s="25">
        <f>IFERROR('CashFlow Data'!K6,0)</f>
        <v>2127</v>
      </c>
      <c r="L78" s="25">
        <f>IFERROR('CashFlow Data'!L6,0)</f>
        <v>-4318</v>
      </c>
    </row>
    <row r="79" spans="1:13" x14ac:dyDescent="0.3">
      <c r="B79" t="s">
        <v>108</v>
      </c>
      <c r="C79" s="25">
        <f>IFERROR('CashFlow Data'!C7,0)</f>
        <v>9301</v>
      </c>
      <c r="D79" s="25">
        <f>IFERROR('CashFlow Data'!D7,0)</f>
        <v>7320</v>
      </c>
      <c r="E79" s="25">
        <f>IFERROR('CashFlow Data'!E7,0)</f>
        <v>-4692</v>
      </c>
      <c r="F79" s="25">
        <f>IFERROR('CashFlow Data'!F7,0)</f>
        <v>-8085</v>
      </c>
      <c r="G79" s="25">
        <f>IFERROR('CashFlow Data'!G7,0)</f>
        <v>5748</v>
      </c>
      <c r="H79" s="25">
        <f>IFERROR('CashFlow Data'!H7,0)</f>
        <v>-7012</v>
      </c>
      <c r="I79" s="25">
        <f>IFERROR('CashFlow Data'!I7,0)</f>
        <v>6945</v>
      </c>
      <c r="J79" s="25">
        <f>IFERROR('CashFlow Data'!J7,0)</f>
        <v>13706</v>
      </c>
      <c r="K79" s="25">
        <f>IFERROR('CashFlow Data'!K7,0)</f>
        <v>1303</v>
      </c>
      <c r="L79" s="25">
        <f>IFERROR('CashFlow Data'!L7,0)</f>
        <v>-1973</v>
      </c>
    </row>
    <row r="80" spans="1:13" x14ac:dyDescent="0.3">
      <c r="B80" t="s">
        <v>109</v>
      </c>
      <c r="C80" s="25">
        <f>IFERROR('CashFlow Data'!C8,0)</f>
        <v>0</v>
      </c>
      <c r="D80" s="25">
        <f>IFERROR('CashFlow Data'!D8,0)</f>
        <v>0</v>
      </c>
      <c r="E80" s="25">
        <f>IFERROR('CashFlow Data'!E8,0)</f>
        <v>0</v>
      </c>
      <c r="F80" s="25">
        <f>IFERROR('CashFlow Data'!F8,0)</f>
        <v>0</v>
      </c>
      <c r="G80" s="25">
        <f>IFERROR('CashFlow Data'!G8,0)</f>
        <v>0</v>
      </c>
      <c r="H80" s="25">
        <f>IFERROR('CashFlow Data'!H8,0)</f>
        <v>0</v>
      </c>
      <c r="I80" s="25">
        <f>IFERROR('CashFlow Data'!I8,0)</f>
        <v>0</v>
      </c>
      <c r="J80" s="25">
        <f>IFERROR('CashFlow Data'!J8,0)</f>
        <v>0</v>
      </c>
      <c r="K80" s="25">
        <f>IFERROR('CashFlow Data'!K8,0)</f>
        <v>0</v>
      </c>
      <c r="L80" s="25">
        <f>IFERROR('CashFlow Data'!L8,0)</f>
        <v>-815</v>
      </c>
    </row>
    <row r="81" spans="2:12" x14ac:dyDescent="0.3">
      <c r="B81" t="s">
        <v>110</v>
      </c>
      <c r="C81" s="25">
        <f>IFERROR('CashFlow Data'!C9,0)</f>
        <v>4727</v>
      </c>
      <c r="D81" s="25">
        <f>IFERROR('CashFlow Data'!D9,0)</f>
        <v>494</v>
      </c>
      <c r="E81" s="25">
        <f>IFERROR('CashFlow Data'!E9,0)</f>
        <v>4512</v>
      </c>
      <c r="F81" s="25">
        <f>IFERROR('CashFlow Data'!F9,0)</f>
        <v>875</v>
      </c>
      <c r="G81" s="25">
        <f>IFERROR('CashFlow Data'!G9,0)</f>
        <v>-4150</v>
      </c>
      <c r="H81" s="25">
        <f>IFERROR('CashFlow Data'!H9,0)</f>
        <v>-4396</v>
      </c>
      <c r="I81" s="25">
        <f>IFERROR('CashFlow Data'!I9,0)</f>
        <v>-2194</v>
      </c>
      <c r="J81" s="25">
        <f>IFERROR('CashFlow Data'!J9,0)</f>
        <v>2760</v>
      </c>
      <c r="K81" s="25">
        <f>IFERROR('CashFlow Data'!K9,0)</f>
        <v>1153</v>
      </c>
      <c r="L81" s="25">
        <f>IFERROR('CashFlow Data'!L9,0)</f>
        <v>-345</v>
      </c>
    </row>
    <row r="82" spans="2:12" x14ac:dyDescent="0.3">
      <c r="B82" t="s">
        <v>111</v>
      </c>
      <c r="C82" s="25">
        <f>IFERROR('CashFlow Data'!C10,0)</f>
        <v>3254</v>
      </c>
      <c r="D82" s="25">
        <f>IFERROR('CashFlow Data'!D10,0)</f>
        <v>-6434</v>
      </c>
      <c r="E82" s="25">
        <f>IFERROR('CashFlow Data'!E10,0)</f>
        <v>-7221</v>
      </c>
      <c r="F82" s="25">
        <f>IFERROR('CashFlow Data'!F10,0)</f>
        <v>5065</v>
      </c>
      <c r="G82" s="25">
        <f>IFERROR('CashFlow Data'!G10,0)</f>
        <v>-93</v>
      </c>
      <c r="H82" s="25">
        <f>IFERROR('CashFlow Data'!H10,0)</f>
        <v>-10750</v>
      </c>
      <c r="I82" s="25">
        <f>IFERROR('CashFlow Data'!I10,0)</f>
        <v>-3127</v>
      </c>
      <c r="J82" s="25">
        <f>IFERROR('CashFlow Data'!J10,0)</f>
        <v>7325</v>
      </c>
      <c r="K82" s="25">
        <f>IFERROR('CashFlow Data'!K10,0)</f>
        <v>8156</v>
      </c>
      <c r="L82" s="25">
        <f>IFERROR('CashFlow Data'!L10,0)</f>
        <v>-9038</v>
      </c>
    </row>
    <row r="83" spans="2:12" x14ac:dyDescent="0.3">
      <c r="B83" t="s">
        <v>112</v>
      </c>
      <c r="C83" s="25">
        <f>IFERROR('CashFlow Data'!C11,0)</f>
        <v>-1895</v>
      </c>
      <c r="D83" s="25">
        <f>IFERROR('CashFlow Data'!D11,0)</f>
        <v>-3021</v>
      </c>
      <c r="E83" s="25">
        <f>IFERROR('CashFlow Data'!E11,0)</f>
        <v>-2659</v>
      </c>
      <c r="F83" s="25">
        <f>IFERROR('CashFlow Data'!F11,0)</f>
        <v>-1785</v>
      </c>
      <c r="G83" s="25">
        <f>IFERROR('CashFlow Data'!G11,0)</f>
        <v>-2105</v>
      </c>
      <c r="H83" s="25">
        <f>IFERROR('CashFlow Data'!H11,0)</f>
        <v>-1910</v>
      </c>
      <c r="I83" s="25">
        <f>IFERROR('CashFlow Data'!I11,0)</f>
        <v>-3179</v>
      </c>
      <c r="J83" s="25">
        <f>IFERROR('CashFlow Data'!J11,0)</f>
        <v>-4516</v>
      </c>
      <c r="K83" s="25">
        <f>IFERROR('CashFlow Data'!K11,0)</f>
        <v>-3991</v>
      </c>
      <c r="L83" s="25">
        <f>IFERROR('CashFlow Data'!L11,0)</f>
        <v>-3314</v>
      </c>
    </row>
    <row r="84" spans="2:12" x14ac:dyDescent="0.3">
      <c r="B84" s="2" t="s">
        <v>138</v>
      </c>
      <c r="C84" s="28">
        <f>SUM(C76:C83)</f>
        <v>33454</v>
      </c>
      <c r="D84" s="28">
        <f t="shared" ref="D84:L84" si="24">SUM(D76:D83)</f>
        <v>17423</v>
      </c>
      <c r="E84" s="28">
        <f t="shared" si="24"/>
        <v>11671</v>
      </c>
      <c r="F84" s="28">
        <f t="shared" si="24"/>
        <v>31698</v>
      </c>
      <c r="G84" s="28">
        <f t="shared" si="24"/>
        <v>28907</v>
      </c>
      <c r="H84" s="28">
        <f t="shared" si="24"/>
        <v>3532</v>
      </c>
      <c r="I84" s="28">
        <f t="shared" si="24"/>
        <v>32261</v>
      </c>
      <c r="J84" s="28">
        <f t="shared" si="24"/>
        <v>75240</v>
      </c>
      <c r="K84" s="28">
        <f t="shared" si="24"/>
        <v>71258</v>
      </c>
      <c r="L84" s="28">
        <f t="shared" si="24"/>
        <v>4003</v>
      </c>
    </row>
    <row r="86" spans="2:12" x14ac:dyDescent="0.3">
      <c r="B86" s="2" t="s">
        <v>140</v>
      </c>
    </row>
    <row r="87" spans="2:12" x14ac:dyDescent="0.3">
      <c r="B87" t="s">
        <v>113</v>
      </c>
      <c r="C87" s="25">
        <f>IFERROR('CashFlow Data'!C13,0)</f>
        <v>-16072</v>
      </c>
      <c r="D87" s="25">
        <f>IFERROR('CashFlow Data'!D13,0)</f>
        <v>-35079</v>
      </c>
      <c r="E87" s="25">
        <f>IFERROR('CashFlow Data'!E13,0)</f>
        <v>-35304</v>
      </c>
      <c r="F87" s="25">
        <f>IFERROR('CashFlow Data'!F13,0)</f>
        <v>-29702</v>
      </c>
      <c r="G87" s="25">
        <f>IFERROR('CashFlow Data'!G13,0)</f>
        <v>-20205</v>
      </c>
      <c r="H87" s="25">
        <f>IFERROR('CashFlow Data'!H13,0)</f>
        <v>-15168</v>
      </c>
      <c r="I87" s="25">
        <f>IFERROR('CashFlow Data'!I13,0)</f>
        <v>-19230</v>
      </c>
      <c r="J87" s="25">
        <f>IFERROR('CashFlow Data'!J13,0)</f>
        <v>-31414</v>
      </c>
      <c r="K87" s="25">
        <f>IFERROR('CashFlow Data'!K13,0)</f>
        <v>-38042</v>
      </c>
      <c r="L87" s="25">
        <f>IFERROR('CashFlow Data'!L13,0)</f>
        <v>-36282</v>
      </c>
    </row>
    <row r="88" spans="2:12" x14ac:dyDescent="0.3">
      <c r="B88" t="s">
        <v>114</v>
      </c>
      <c r="C88" s="25">
        <f>IFERROR('CashFlow Data'!C14,0)</f>
        <v>53</v>
      </c>
      <c r="D88" s="25">
        <f>IFERROR('CashFlow Data'!D14,0)</f>
        <v>30</v>
      </c>
      <c r="E88" s="25">
        <f>IFERROR('CashFlow Data'!E14,0)</f>
        <v>67</v>
      </c>
      <c r="F88" s="25">
        <f>IFERROR('CashFlow Data'!F14,0)</f>
        <v>171</v>
      </c>
      <c r="G88" s="25">
        <f>IFERROR('CashFlow Data'!G14,0)</f>
        <v>351</v>
      </c>
      <c r="H88" s="25">
        <f>IFERROR('CashFlow Data'!H14,0)</f>
        <v>230</v>
      </c>
      <c r="I88" s="25">
        <f>IFERROR('CashFlow Data'!I14,0)</f>
        <v>285</v>
      </c>
      <c r="J88" s="25">
        <f>IFERROR('CashFlow Data'!J14,0)</f>
        <v>231</v>
      </c>
      <c r="K88" s="25">
        <f>IFERROR('CashFlow Data'!K14,0)</f>
        <v>974</v>
      </c>
      <c r="L88" s="25">
        <f>IFERROR('CashFlow Data'!L14,0)</f>
        <v>46</v>
      </c>
    </row>
    <row r="89" spans="2:12" x14ac:dyDescent="0.3">
      <c r="B89" t="s">
        <v>115</v>
      </c>
      <c r="C89" s="25">
        <f>IFERROR('CashFlow Data'!C15,0)</f>
        <v>-6</v>
      </c>
      <c r="D89" s="25">
        <f>IFERROR('CashFlow Data'!D15,0)</f>
        <v>-329</v>
      </c>
      <c r="E89" s="25">
        <f>IFERROR('CashFlow Data'!E15,0)</f>
        <v>-130</v>
      </c>
      <c r="F89" s="25">
        <f>IFERROR('CashFlow Data'!F15,0)</f>
        <v>-1439</v>
      </c>
      <c r="G89" s="25">
        <f>IFERROR('CashFlow Data'!G15,0)</f>
        <v>-7530</v>
      </c>
      <c r="H89" s="25">
        <f>IFERROR('CashFlow Data'!H15,0)</f>
        <v>-3008</v>
      </c>
      <c r="I89" s="25">
        <f>IFERROR('CashFlow Data'!I15,0)</f>
        <v>-50</v>
      </c>
      <c r="J89" s="25">
        <f>IFERROR('CashFlow Data'!J15,0)</f>
        <v>-74</v>
      </c>
      <c r="K89" s="25">
        <f>IFERROR('CashFlow Data'!K15,0)</f>
        <v>-12677</v>
      </c>
      <c r="L89" s="25">
        <f>IFERROR('CashFlow Data'!L15,0)</f>
        <v>-102</v>
      </c>
    </row>
    <row r="90" spans="2:12" x14ac:dyDescent="0.3">
      <c r="B90" t="s">
        <v>116</v>
      </c>
      <c r="C90" s="25">
        <f>IFERROR('CashFlow Data'!C16,0)</f>
        <v>1965</v>
      </c>
      <c r="D90" s="25">
        <f>IFERROR('CashFlow Data'!D16,0)</f>
        <v>2381</v>
      </c>
      <c r="E90" s="25">
        <f>IFERROR('CashFlow Data'!E16,0)</f>
        <v>5644</v>
      </c>
      <c r="F90" s="25">
        <f>IFERROR('CashFlow Data'!F16,0)</f>
        <v>21</v>
      </c>
      <c r="G90" s="25">
        <f>IFERROR('CashFlow Data'!G16,0)</f>
        <v>226</v>
      </c>
      <c r="H90" s="25">
        <f>IFERROR('CashFlow Data'!H16,0)</f>
        <v>104</v>
      </c>
      <c r="I90" s="25">
        <f>IFERROR('CashFlow Data'!I16,0)</f>
        <v>6895</v>
      </c>
      <c r="J90" s="25">
        <f>IFERROR('CashFlow Data'!J16,0)</f>
        <v>10821</v>
      </c>
      <c r="K90" s="25">
        <f>IFERROR('CashFlow Data'!K16,0)</f>
        <v>111</v>
      </c>
      <c r="L90" s="25">
        <f>IFERROR('CashFlow Data'!L16,0)</f>
        <v>10704</v>
      </c>
    </row>
    <row r="91" spans="2:12" x14ac:dyDescent="0.3">
      <c r="B91" t="s">
        <v>117</v>
      </c>
      <c r="C91" s="25">
        <f>IFERROR('CashFlow Data'!C17,0)</f>
        <v>638</v>
      </c>
      <c r="D91" s="25">
        <f>IFERROR('CashFlow Data'!D17,0)</f>
        <v>690</v>
      </c>
      <c r="E91" s="25">
        <f>IFERROR('CashFlow Data'!E17,0)</f>
        <v>761</v>
      </c>
      <c r="F91" s="25">
        <f>IFERROR('CashFlow Data'!F17,0)</f>
        <v>1104</v>
      </c>
      <c r="G91" s="25">
        <f>IFERROR('CashFlow Data'!G17,0)</f>
        <v>428</v>
      </c>
      <c r="H91" s="25">
        <f>IFERROR('CashFlow Data'!H17,0)</f>
        <v>653</v>
      </c>
      <c r="I91" s="25">
        <f>IFERROR('CashFlow Data'!I17,0)</f>
        <v>973</v>
      </c>
      <c r="J91" s="25">
        <f>IFERROR('CashFlow Data'!J17,0)</f>
        <v>2493</v>
      </c>
      <c r="K91" s="25">
        <f>IFERROR('CashFlow Data'!K17,0)</f>
        <v>2420</v>
      </c>
      <c r="L91" s="25">
        <f>IFERROR('CashFlow Data'!L17,0)</f>
        <v>1940</v>
      </c>
    </row>
    <row r="92" spans="2:12" x14ac:dyDescent="0.3">
      <c r="B92" t="s">
        <v>118</v>
      </c>
      <c r="C92" s="25">
        <f>IFERROR('CashFlow Data'!C18,0)</f>
        <v>620</v>
      </c>
      <c r="D92" s="25">
        <f>IFERROR('CashFlow Data'!D18,0)</f>
        <v>1797</v>
      </c>
      <c r="E92" s="25">
        <f>IFERROR('CashFlow Data'!E18,0)</f>
        <v>232</v>
      </c>
      <c r="F92" s="25">
        <f>IFERROR('CashFlow Data'!F18,0)</f>
        <v>21</v>
      </c>
      <c r="G92" s="25">
        <f>IFERROR('CashFlow Data'!G18,0)</f>
        <v>18</v>
      </c>
      <c r="H92" s="25">
        <f>IFERROR('CashFlow Data'!H18,0)</f>
        <v>32</v>
      </c>
      <c r="I92" s="25">
        <f>IFERROR('CashFlow Data'!I18,0)</f>
        <v>46</v>
      </c>
      <c r="J92" s="25">
        <f>IFERROR('CashFlow Data'!J18,0)</f>
        <v>47</v>
      </c>
      <c r="K92" s="25">
        <f>IFERROR('CashFlow Data'!K18,0)</f>
        <v>64</v>
      </c>
      <c r="L92" s="25">
        <f>IFERROR('CashFlow Data'!L18,0)</f>
        <v>199</v>
      </c>
    </row>
    <row r="93" spans="2:12" x14ac:dyDescent="0.3">
      <c r="B93" t="s">
        <v>119</v>
      </c>
      <c r="C93" s="25">
        <f>IFERROR('CashFlow Data'!C19,0)</f>
        <v>-107</v>
      </c>
      <c r="D93" s="25">
        <f>IFERROR('CashFlow Data'!D19,0)</f>
        <v>-4</v>
      </c>
      <c r="E93" s="25">
        <f>IFERROR('CashFlow Data'!E19,0)</f>
        <v>-9</v>
      </c>
      <c r="F93" s="25">
        <f>IFERROR('CashFlow Data'!F19,0)</f>
        <v>-606</v>
      </c>
      <c r="G93" s="25">
        <f>IFERROR('CashFlow Data'!G19,0)</f>
        <v>-10</v>
      </c>
      <c r="H93" s="25">
        <f>IFERROR('CashFlow Data'!H19,0)</f>
        <v>0</v>
      </c>
      <c r="I93" s="25">
        <f>IFERROR('CashFlow Data'!I19,0)</f>
        <v>0</v>
      </c>
      <c r="J93" s="25">
        <f>IFERROR('CashFlow Data'!J19,0)</f>
        <v>-150</v>
      </c>
      <c r="K93" s="25">
        <f>IFERROR('CashFlow Data'!K19,0)</f>
        <v>0</v>
      </c>
      <c r="L93" s="25">
        <f>IFERROR('CashFlow Data'!L19,0)</f>
        <v>-5</v>
      </c>
    </row>
    <row r="94" spans="2:12" x14ac:dyDescent="0.3">
      <c r="B94" t="s">
        <v>120</v>
      </c>
      <c r="C94" s="25">
        <f>IFERROR('CashFlow Data'!C20,0)</f>
        <v>0</v>
      </c>
      <c r="D94" s="25">
        <f>IFERROR('CashFlow Data'!D20,0)</f>
        <v>14</v>
      </c>
      <c r="E94" s="25">
        <f>IFERROR('CashFlow Data'!E20,0)</f>
        <v>533</v>
      </c>
      <c r="F94" s="25">
        <f>IFERROR('CashFlow Data'!F20,0)</f>
        <v>0</v>
      </c>
      <c r="G94" s="25">
        <f>IFERROR('CashFlow Data'!G20,0)</f>
        <v>0</v>
      </c>
      <c r="H94" s="25">
        <f>IFERROR('CashFlow Data'!H20,0)</f>
        <v>0</v>
      </c>
      <c r="I94" s="25">
        <f>IFERROR('CashFlow Data'!I20,0)</f>
        <v>19</v>
      </c>
      <c r="J94" s="25">
        <f>IFERROR('CashFlow Data'!J20,0)</f>
        <v>107</v>
      </c>
      <c r="K94" s="25">
        <f>IFERROR('CashFlow Data'!K20,0)</f>
        <v>765</v>
      </c>
      <c r="L94" s="25">
        <f>IFERROR('CashFlow Data'!L20,0)</f>
        <v>0</v>
      </c>
    </row>
    <row r="95" spans="2:12" x14ac:dyDescent="0.3">
      <c r="B95" t="s">
        <v>121</v>
      </c>
      <c r="C95" s="25">
        <f>IFERROR('CashFlow Data'!C21,0)</f>
        <v>0</v>
      </c>
      <c r="D95" s="25">
        <f>IFERROR('CashFlow Data'!D21,0)</f>
        <v>0</v>
      </c>
      <c r="E95" s="25">
        <f>IFERROR('CashFlow Data'!E21,0)</f>
        <v>-8</v>
      </c>
      <c r="F95" s="25">
        <f>IFERROR('CashFlow Data'!F21,0)</f>
        <v>-27</v>
      </c>
      <c r="G95" s="25">
        <f>IFERROR('CashFlow Data'!G21,0)</f>
        <v>0</v>
      </c>
      <c r="H95" s="25">
        <f>IFERROR('CashFlow Data'!H21,0)</f>
        <v>-98</v>
      </c>
      <c r="I95" s="25">
        <f>IFERROR('CashFlow Data'!I21,0)</f>
        <v>0</v>
      </c>
      <c r="J95" s="25">
        <f>IFERROR('CashFlow Data'!J21,0)</f>
        <v>0</v>
      </c>
      <c r="K95" s="25">
        <f>IFERROR('CashFlow Data'!K21,0)</f>
        <v>-688</v>
      </c>
      <c r="L95" s="25">
        <f>IFERROR('CashFlow Data'!L21,0)</f>
        <v>-512</v>
      </c>
    </row>
    <row r="96" spans="2:12" x14ac:dyDescent="0.3">
      <c r="B96" t="s">
        <v>122</v>
      </c>
      <c r="C96" s="25">
        <f>IFERROR('CashFlow Data'!C22,0)</f>
        <v>0</v>
      </c>
      <c r="D96" s="25">
        <f>IFERROR('CashFlow Data'!D22,0)</f>
        <v>0</v>
      </c>
      <c r="E96" s="25">
        <f>IFERROR('CashFlow Data'!E22,0)</f>
        <v>0</v>
      </c>
      <c r="F96" s="25">
        <f>IFERROR('CashFlow Data'!F22,0)</f>
        <v>0</v>
      </c>
      <c r="G96" s="25">
        <f>IFERROR('CashFlow Data'!G22,0)</f>
        <v>0</v>
      </c>
      <c r="H96" s="25">
        <f>IFERROR('CashFlow Data'!H22,0)</f>
        <v>0</v>
      </c>
      <c r="I96" s="25">
        <f>IFERROR('CashFlow Data'!I22,0)</f>
        <v>0</v>
      </c>
      <c r="J96" s="25">
        <f>IFERROR('CashFlow Data'!J22,0)</f>
        <v>-25</v>
      </c>
      <c r="K96" s="25">
        <f>IFERROR('CashFlow Data'!K22,0)</f>
        <v>-20</v>
      </c>
      <c r="L96" s="25">
        <f>IFERROR('CashFlow Data'!L22,0)</f>
        <v>-83</v>
      </c>
    </row>
    <row r="97" spans="2:13" x14ac:dyDescent="0.3">
      <c r="B97" t="s">
        <v>123</v>
      </c>
      <c r="C97" s="25">
        <f>IFERROR('CashFlow Data'!C23,0)</f>
        <v>-26663</v>
      </c>
      <c r="D97" s="25">
        <f>IFERROR('CashFlow Data'!D23,0)</f>
        <v>5360</v>
      </c>
      <c r="E97" s="25">
        <f>IFERROR('CashFlow Data'!E23,0)</f>
        <v>7335</v>
      </c>
      <c r="F97" s="25">
        <f>IFERROR('CashFlow Data'!F23,0)</f>
        <v>-2659</v>
      </c>
      <c r="G97" s="25">
        <f>IFERROR('CashFlow Data'!G23,0)</f>
        <v>1051</v>
      </c>
      <c r="H97" s="25">
        <f>IFERROR('CashFlow Data'!H23,0)</f>
        <v>12813</v>
      </c>
      <c r="I97" s="25">
        <f>IFERROR('CashFlow Data'!I23,0)</f>
        <v>-4357</v>
      </c>
      <c r="J97" s="25">
        <f>IFERROR('CashFlow Data'!J23,0)</f>
        <v>-4817</v>
      </c>
      <c r="K97" s="25">
        <f>IFERROR('CashFlow Data'!K23,0)</f>
        <v>-2889</v>
      </c>
      <c r="L97" s="25">
        <f>IFERROR('CashFlow Data'!L23,0)</f>
        <v>-715</v>
      </c>
    </row>
    <row r="98" spans="2:13" x14ac:dyDescent="0.3">
      <c r="B98" s="2" t="s">
        <v>141</v>
      </c>
      <c r="C98" s="28">
        <f>SUM(C87:C97)</f>
        <v>-39572</v>
      </c>
      <c r="D98" s="28">
        <f t="shared" ref="D98:L98" si="25">SUM(D87:D97)</f>
        <v>-25140</v>
      </c>
      <c r="E98" s="28">
        <f t="shared" si="25"/>
        <v>-20879</v>
      </c>
      <c r="F98" s="28">
        <f t="shared" si="25"/>
        <v>-33116</v>
      </c>
      <c r="G98" s="28">
        <f t="shared" si="25"/>
        <v>-25671</v>
      </c>
      <c r="H98" s="28">
        <f t="shared" si="25"/>
        <v>-4442</v>
      </c>
      <c r="I98" s="28">
        <f t="shared" si="25"/>
        <v>-15419</v>
      </c>
      <c r="J98" s="28">
        <f t="shared" si="25"/>
        <v>-22781</v>
      </c>
      <c r="K98" s="28">
        <f t="shared" si="25"/>
        <v>-49982</v>
      </c>
      <c r="L98" s="28">
        <f t="shared" si="25"/>
        <v>-24810</v>
      </c>
    </row>
    <row r="99" spans="2:13" x14ac:dyDescent="0.3">
      <c r="C99" s="25"/>
    </row>
    <row r="100" spans="2:13" x14ac:dyDescent="0.3">
      <c r="B100" s="2" t="s">
        <v>142</v>
      </c>
    </row>
    <row r="101" spans="2:13" x14ac:dyDescent="0.3">
      <c r="B101" t="s">
        <v>124</v>
      </c>
      <c r="C101" s="25">
        <f>IFERROR('CashFlow Data'!C25,0)</f>
        <v>5</v>
      </c>
      <c r="D101" s="25">
        <f>IFERROR('CashFlow Data'!D25,0)</f>
        <v>0</v>
      </c>
      <c r="E101" s="25">
        <f>IFERROR('CashFlow Data'!E25,0)</f>
        <v>0</v>
      </c>
      <c r="F101" s="25">
        <f>IFERROR('CashFlow Data'!F25,0)</f>
        <v>3889</v>
      </c>
      <c r="G101" s="25">
        <f>IFERROR('CashFlow Data'!G25,0)</f>
        <v>2603</v>
      </c>
      <c r="H101" s="25">
        <f>IFERROR('CashFlow Data'!H25,0)</f>
        <v>19</v>
      </c>
      <c r="I101" s="25">
        <f>IFERROR('CashFlow Data'!I25,0)</f>
        <v>20</v>
      </c>
      <c r="J101" s="25">
        <f>IFERROR('CashFlow Data'!J25,0)</f>
        <v>82</v>
      </c>
      <c r="K101" s="25">
        <f>IFERROR('CashFlow Data'!K25,0)</f>
        <v>1108</v>
      </c>
      <c r="L101" s="25">
        <f>IFERROR('CashFlow Data'!L25,0)</f>
        <v>18</v>
      </c>
      <c r="M101" s="25"/>
    </row>
    <row r="102" spans="2:13" x14ac:dyDescent="0.3">
      <c r="B102" t="s">
        <v>125</v>
      </c>
      <c r="C102" s="25">
        <f>IFERROR('CashFlow Data'!C26,0)</f>
        <v>0</v>
      </c>
      <c r="D102" s="25">
        <f>IFERROR('CashFlow Data'!D26,0)</f>
        <v>0</v>
      </c>
      <c r="E102" s="25">
        <f>IFERROR('CashFlow Data'!E26,0)</f>
        <v>0</v>
      </c>
      <c r="F102" s="25">
        <f>IFERROR('CashFlow Data'!F26,0)</f>
        <v>0</v>
      </c>
      <c r="G102" s="25">
        <f>IFERROR('CashFlow Data'!G26,0)</f>
        <v>0</v>
      </c>
      <c r="H102" s="25">
        <f>IFERROR('CashFlow Data'!H26,0)</f>
        <v>0</v>
      </c>
      <c r="I102" s="25">
        <f>IFERROR('CashFlow Data'!I26,0)</f>
        <v>0</v>
      </c>
      <c r="J102" s="25">
        <f>IFERROR('CashFlow Data'!J26,0)</f>
        <v>0</v>
      </c>
      <c r="K102" s="25">
        <f>IFERROR('CashFlow Data'!K26,0)</f>
        <v>0</v>
      </c>
      <c r="L102" s="25">
        <f>IFERROR('CashFlow Data'!L26,0)</f>
        <v>0</v>
      </c>
      <c r="M102" s="25"/>
    </row>
    <row r="103" spans="2:13" x14ac:dyDescent="0.3">
      <c r="B103" t="s">
        <v>126</v>
      </c>
      <c r="C103" s="25">
        <f>IFERROR('CashFlow Data'!C27,0)</f>
        <v>33390</v>
      </c>
      <c r="D103" s="25">
        <f>IFERROR('CashFlow Data'!D27,0)</f>
        <v>37482</v>
      </c>
      <c r="E103" s="25">
        <f>IFERROR('CashFlow Data'!E27,0)</f>
        <v>51128</v>
      </c>
      <c r="F103" s="25">
        <f>IFERROR('CashFlow Data'!F27,0)</f>
        <v>38297</v>
      </c>
      <c r="G103" s="25">
        <f>IFERROR('CashFlow Data'!G27,0)</f>
        <v>46641</v>
      </c>
      <c r="H103" s="25">
        <f>IFERROR('CashFlow Data'!H27,0)</f>
        <v>46578</v>
      </c>
      <c r="I103" s="25">
        <f>IFERROR('CashFlow Data'!I27,0)</f>
        <v>43934</v>
      </c>
      <c r="J103" s="25">
        <f>IFERROR('CashFlow Data'!J27,0)</f>
        <v>18829</v>
      </c>
      <c r="K103" s="25">
        <f>IFERROR('CashFlow Data'!K27,0)</f>
        <v>13384</v>
      </c>
      <c r="L103" s="25">
        <f>IFERROR('CashFlow Data'!L27,0)</f>
        <v>26425</v>
      </c>
      <c r="M103" s="25"/>
    </row>
    <row r="104" spans="2:13" x14ac:dyDescent="0.3">
      <c r="B104" t="s">
        <v>127</v>
      </c>
      <c r="C104" s="25">
        <f>IFERROR('CashFlow Data'!C28,0)</f>
        <v>-21732</v>
      </c>
      <c r="D104" s="25">
        <f>IFERROR('CashFlow Data'!D28,0)</f>
        <v>-29964</v>
      </c>
      <c r="E104" s="25">
        <f>IFERROR('CashFlow Data'!E28,0)</f>
        <v>-35198</v>
      </c>
      <c r="F104" s="25">
        <f>IFERROR('CashFlow Data'!F28,0)</f>
        <v>-29847</v>
      </c>
      <c r="G104" s="25">
        <f>IFERROR('CashFlow Data'!G28,0)</f>
        <v>-29709</v>
      </c>
      <c r="H104" s="25">
        <f>IFERROR('CashFlow Data'!H28,0)</f>
        <v>-42816</v>
      </c>
      <c r="I104" s="25">
        <f>IFERROR('CashFlow Data'!I28,0)</f>
        <v>-62557</v>
      </c>
      <c r="J104" s="25">
        <f>IFERROR('CashFlow Data'!J28,0)</f>
        <v>-47414</v>
      </c>
      <c r="K104" s="25">
        <f>IFERROR('CashFlow Data'!K28,0)</f>
        <v>-21443</v>
      </c>
      <c r="L104" s="25">
        <f>IFERROR('CashFlow Data'!L28,0)</f>
        <v>-18110</v>
      </c>
      <c r="M104" s="25"/>
    </row>
    <row r="105" spans="2:13" x14ac:dyDescent="0.3">
      <c r="B105" t="s">
        <v>128</v>
      </c>
      <c r="C105" s="25">
        <f>IFERROR('CashFlow Data'!C29,0)</f>
        <v>-5336</v>
      </c>
      <c r="D105" s="25">
        <f>IFERROR('CashFlow Data'!D29,0)</f>
        <v>-5411</v>
      </c>
      <c r="E105" s="25">
        <f>IFERROR('CashFlow Data'!E29,0)</f>
        <v>-7005</v>
      </c>
      <c r="F105" s="25">
        <f>IFERROR('CashFlow Data'!F29,0)</f>
        <v>-7518</v>
      </c>
      <c r="G105" s="25">
        <f>IFERROR('CashFlow Data'!G29,0)</f>
        <v>-8123</v>
      </c>
      <c r="H105" s="25">
        <f>IFERROR('CashFlow Data'!H29,0)</f>
        <v>-9251</v>
      </c>
      <c r="I105" s="25">
        <f>IFERROR('CashFlow Data'!I29,0)</f>
        <v>-9336</v>
      </c>
      <c r="J105" s="25">
        <f>IFERROR('CashFlow Data'!J29,0)</f>
        <v>-9332</v>
      </c>
      <c r="K105" s="25">
        <f>IFERROR('CashFlow Data'!K29,0)</f>
        <v>-5814</v>
      </c>
      <c r="L105" s="25">
        <f>IFERROR('CashFlow Data'!L29,0)</f>
        <v>-5111</v>
      </c>
      <c r="M105" s="25"/>
    </row>
    <row r="106" spans="2:13" x14ac:dyDescent="0.3">
      <c r="B106" t="s">
        <v>129</v>
      </c>
      <c r="C106" s="25">
        <f>IFERROR('CashFlow Data'!C30,0)</f>
        <v>-121</v>
      </c>
      <c r="D106" s="25">
        <f>IFERROR('CashFlow Data'!D30,0)</f>
        <v>-96</v>
      </c>
      <c r="E106" s="25">
        <f>IFERROR('CashFlow Data'!E30,0)</f>
        <v>-95</v>
      </c>
      <c r="F106" s="25">
        <f>IFERROR('CashFlow Data'!F30,0)</f>
        <v>-57</v>
      </c>
      <c r="G106" s="25">
        <f>IFERROR('CashFlow Data'!G30,0)</f>
        <v>-30</v>
      </c>
      <c r="H106" s="25">
        <f>IFERROR('CashFlow Data'!H30,0)</f>
        <v>-100</v>
      </c>
      <c r="I106" s="25">
        <f>IFERROR('CashFlow Data'!I30,0)</f>
        <v>-141</v>
      </c>
      <c r="J106" s="25">
        <f>IFERROR('CashFlow Data'!J30,0)</f>
        <v>-1059</v>
      </c>
      <c r="K106" s="25">
        <f>IFERROR('CashFlow Data'!K30,0)</f>
        <v>-2492</v>
      </c>
      <c r="L106" s="25">
        <f>IFERROR('CashFlow Data'!L30,0)</f>
        <v>-2203</v>
      </c>
      <c r="M106" s="25"/>
    </row>
    <row r="107" spans="2:13" x14ac:dyDescent="0.3">
      <c r="B107" t="s">
        <v>130</v>
      </c>
      <c r="C107" s="25">
        <f>IFERROR('CashFlow Data'!C31,0)</f>
        <v>0</v>
      </c>
      <c r="D107" s="25">
        <f>IFERROR('CashFlow Data'!D31,0)</f>
        <v>0</v>
      </c>
      <c r="E107" s="25">
        <f>IFERROR('CashFlow Data'!E31,0)</f>
        <v>0</v>
      </c>
      <c r="F107" s="25">
        <f>IFERROR('CashFlow Data'!F31,0)</f>
        <v>-1346</v>
      </c>
      <c r="G107" s="25">
        <f>IFERROR('CashFlow Data'!G31,0)</f>
        <v>-1477</v>
      </c>
      <c r="H107" s="25">
        <f>IFERROR('CashFlow Data'!H31,0)</f>
        <v>-1559</v>
      </c>
      <c r="I107" s="25">
        <f>IFERROR('CashFlow Data'!I31,0)</f>
        <v>-1517</v>
      </c>
      <c r="J107" s="25">
        <f>IFERROR('CashFlow Data'!J31,0)</f>
        <v>-1924</v>
      </c>
      <c r="K107" s="25">
        <f>IFERROR('CashFlow Data'!K31,0)</f>
        <v>-2393</v>
      </c>
      <c r="L107" s="25">
        <f>IFERROR('CashFlow Data'!L31,0)</f>
        <v>-2145</v>
      </c>
      <c r="M107" s="25"/>
    </row>
    <row r="108" spans="2:13" x14ac:dyDescent="0.3">
      <c r="B108" t="s">
        <v>131</v>
      </c>
      <c r="C108" s="25">
        <f>IFERROR('CashFlow Data'!C32,0)</f>
        <v>0</v>
      </c>
      <c r="D108" s="25">
        <f>IFERROR('CashFlow Data'!D32,0)</f>
        <v>0</v>
      </c>
      <c r="E108" s="25">
        <f>IFERROR('CashFlow Data'!E32,0)</f>
        <v>0</v>
      </c>
      <c r="F108" s="25">
        <f>IFERROR('CashFlow Data'!F32,0)</f>
        <v>-29</v>
      </c>
      <c r="G108" s="25">
        <f>IFERROR('CashFlow Data'!G32,0)</f>
        <v>0</v>
      </c>
      <c r="H108" s="25">
        <f>IFERROR('CashFlow Data'!H32,0)</f>
        <v>3750</v>
      </c>
      <c r="I108" s="25">
        <f>IFERROR('CashFlow Data'!I32,0)</f>
        <v>3355</v>
      </c>
      <c r="J108" s="25">
        <f>IFERROR('CashFlow Data'!J32,0)</f>
        <v>3812</v>
      </c>
      <c r="K108" s="25">
        <f>IFERROR('CashFlow Data'!K32,0)</f>
        <v>-1136</v>
      </c>
      <c r="L108" s="25">
        <f>IFERROR('CashFlow Data'!L32,0)</f>
        <v>-218</v>
      </c>
      <c r="M108" s="25"/>
    </row>
    <row r="109" spans="2:13" x14ac:dyDescent="0.3">
      <c r="B109" s="2" t="s">
        <v>143</v>
      </c>
      <c r="C109" s="28">
        <f>SUM(C101:C108)</f>
        <v>6206</v>
      </c>
      <c r="D109" s="28">
        <f t="shared" ref="D109:L109" si="26">SUM(D101:D108)</f>
        <v>2011</v>
      </c>
      <c r="E109" s="28">
        <f t="shared" si="26"/>
        <v>8830</v>
      </c>
      <c r="F109" s="28">
        <f t="shared" si="26"/>
        <v>3389</v>
      </c>
      <c r="G109" s="28">
        <f t="shared" si="26"/>
        <v>9905</v>
      </c>
      <c r="H109" s="28">
        <f t="shared" si="26"/>
        <v>-3379</v>
      </c>
      <c r="I109" s="28">
        <f t="shared" si="26"/>
        <v>-26242</v>
      </c>
      <c r="J109" s="28">
        <f t="shared" si="26"/>
        <v>-37006</v>
      </c>
      <c r="K109" s="28">
        <f t="shared" si="26"/>
        <v>-18786</v>
      </c>
      <c r="L109" s="28">
        <f t="shared" si="26"/>
        <v>-1344</v>
      </c>
      <c r="M109" s="28"/>
    </row>
    <row r="111" spans="2:13" x14ac:dyDescent="0.3">
      <c r="B111" t="s">
        <v>34</v>
      </c>
      <c r="C111" s="28">
        <f>IFERROR(C84+C98+C109,0)</f>
        <v>88</v>
      </c>
      <c r="D111" s="28">
        <f t="shared" ref="D111:L111" si="27">IFERROR(D84+D98+D109,0)</f>
        <v>-5706</v>
      </c>
      <c r="E111" s="28">
        <f t="shared" si="27"/>
        <v>-378</v>
      </c>
      <c r="F111" s="28">
        <f t="shared" si="27"/>
        <v>1971</v>
      </c>
      <c r="G111" s="28">
        <f t="shared" si="27"/>
        <v>13141</v>
      </c>
      <c r="H111" s="28">
        <f t="shared" si="27"/>
        <v>-4289</v>
      </c>
      <c r="I111" s="28">
        <f t="shared" si="27"/>
        <v>-9400</v>
      </c>
      <c r="J111" s="28">
        <f t="shared" si="27"/>
        <v>15453</v>
      </c>
      <c r="K111" s="28">
        <f t="shared" si="27"/>
        <v>2490</v>
      </c>
      <c r="L111" s="28">
        <f t="shared" si="27"/>
        <v>-22151</v>
      </c>
    </row>
    <row r="113" spans="1:13" x14ac:dyDescent="0.3">
      <c r="A113" t="s">
        <v>79</v>
      </c>
      <c r="B113" s="24" t="s">
        <v>137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5" spans="1:13" x14ac:dyDescent="0.3">
      <c r="B115" t="s">
        <v>174</v>
      </c>
      <c r="C115" s="25">
        <f>IFERROR('Data Sheet'!B82,0)</f>
        <v>365.67</v>
      </c>
      <c r="D115" s="25">
        <f>IFERROR('Data Sheet'!C82,0)</f>
        <v>220.57</v>
      </c>
      <c r="E115" s="25">
        <f>IFERROR('Data Sheet'!D82,0)</f>
        <v>255.91</v>
      </c>
      <c r="F115" s="25">
        <f>IFERROR('Data Sheet'!E82,0)</f>
        <v>230.62</v>
      </c>
      <c r="G115" s="25">
        <f>IFERROR('Data Sheet'!F82,0)</f>
        <v>-75.59</v>
      </c>
      <c r="H115" s="25">
        <f>IFERROR('Data Sheet'!G82,0)</f>
        <v>-336.44</v>
      </c>
      <c r="I115" s="25">
        <f>IFERROR('Data Sheet'!H82,0)</f>
        <v>1194.1300000000001</v>
      </c>
      <c r="J115" s="25">
        <f>IFERROR('Data Sheet'!I82,0)</f>
        <v>-297.12</v>
      </c>
      <c r="K115" s="25">
        <f>IFERROR('Data Sheet'!J82,0)</f>
        <v>-566.58000000000004</v>
      </c>
      <c r="L115" s="25">
        <f>IFERROR('Data Sheet'!K82,0)</f>
        <v>-149.05000000000001</v>
      </c>
    </row>
    <row r="116" spans="1:13" x14ac:dyDescent="0.3"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3" x14ac:dyDescent="0.3">
      <c r="B117" s="6" t="s">
        <v>32</v>
      </c>
      <c r="C117" s="25">
        <f>IFERROR('Data Sheet'!B83,0)</f>
        <v>-249.63</v>
      </c>
      <c r="D117" s="25">
        <f>IFERROR('Data Sheet'!C83,0)</f>
        <v>-163.28</v>
      </c>
      <c r="E117" s="25">
        <f>IFERROR('Data Sheet'!D83,0)</f>
        <v>-183.5</v>
      </c>
      <c r="F117" s="25">
        <f>IFERROR('Data Sheet'!E83,0)</f>
        <v>-202.09</v>
      </c>
      <c r="G117" s="25">
        <f>IFERROR('Data Sheet'!F83,0)</f>
        <v>260.19</v>
      </c>
      <c r="H117" s="25">
        <f>IFERROR('Data Sheet'!G83,0)</f>
        <v>-408.48</v>
      </c>
      <c r="I117" s="25">
        <f>IFERROR('Data Sheet'!H83,0)</f>
        <v>66.81</v>
      </c>
      <c r="J117" s="25">
        <f>IFERROR('Data Sheet'!I83,0)</f>
        <v>-33.6</v>
      </c>
      <c r="K117" s="25">
        <f>IFERROR('Data Sheet'!J83,0)</f>
        <v>-166.56</v>
      </c>
      <c r="L117" s="25">
        <f>IFERROR('Data Sheet'!K83,0)</f>
        <v>-139.09</v>
      </c>
    </row>
    <row r="118" spans="1:13" x14ac:dyDescent="0.3"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3" x14ac:dyDescent="0.3">
      <c r="B119" s="6" t="s">
        <v>33</v>
      </c>
      <c r="C119" s="25">
        <f>IFERROR('Data Sheet'!B84,0)</f>
        <v>-123.61</v>
      </c>
      <c r="D119" s="25">
        <f>IFERROR('Data Sheet'!C84,0)</f>
        <v>-37.53</v>
      </c>
      <c r="E119" s="25">
        <f>IFERROR('Data Sheet'!D84,0)</f>
        <v>-107.5</v>
      </c>
      <c r="F119" s="25">
        <f>IFERROR('Data Sheet'!E84,0)</f>
        <v>2.2200000000000002</v>
      </c>
      <c r="G119" s="25">
        <f>IFERROR('Data Sheet'!F84,0)</f>
        <v>-97.83</v>
      </c>
      <c r="H119" s="25">
        <f>IFERROR('Data Sheet'!G84,0)</f>
        <v>764.87</v>
      </c>
      <c r="I119" s="25">
        <f>IFERROR('Data Sheet'!H84,0)</f>
        <v>-1217.3499999999999</v>
      </c>
      <c r="J119" s="25">
        <f>IFERROR('Data Sheet'!I84,0)</f>
        <v>496.13</v>
      </c>
      <c r="K119" s="25">
        <f>IFERROR('Data Sheet'!J84,0)</f>
        <v>480.09</v>
      </c>
      <c r="L119" s="25">
        <f>IFERROR('Data Sheet'!K84,0)</f>
        <v>371.23</v>
      </c>
    </row>
    <row r="121" spans="1:13" x14ac:dyDescent="0.3">
      <c r="B121" s="28" t="s">
        <v>34</v>
      </c>
      <c r="C121" s="28">
        <f>SUM(C119,C117,C115)</f>
        <v>-7.5699999999999932</v>
      </c>
      <c r="D121" s="28">
        <f t="shared" ref="D121:L121" si="28">SUM(D119,D117,D115)</f>
        <v>19.759999999999991</v>
      </c>
      <c r="E121" s="28">
        <f t="shared" si="28"/>
        <v>-35.090000000000003</v>
      </c>
      <c r="F121" s="28">
        <f t="shared" si="28"/>
        <v>30.75</v>
      </c>
      <c r="G121" s="28">
        <f t="shared" si="28"/>
        <v>86.77000000000001</v>
      </c>
      <c r="H121" s="28">
        <f t="shared" si="28"/>
        <v>19.949999999999989</v>
      </c>
      <c r="I121" s="28">
        <f t="shared" si="28"/>
        <v>43.590000000000146</v>
      </c>
      <c r="J121" s="28">
        <f t="shared" si="28"/>
        <v>165.40999999999997</v>
      </c>
      <c r="K121" s="28">
        <f t="shared" si="28"/>
        <v>-253.05000000000007</v>
      </c>
      <c r="L121" s="28">
        <f t="shared" si="28"/>
        <v>83.09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C15 D15:L15 M3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D409-270A-4703-A5DB-9042838CE395}">
  <dimension ref="B2:O41"/>
  <sheetViews>
    <sheetView showGridLines="0" zoomScaleNormal="100" workbookViewId="0">
      <pane ySplit="3" topLeftCell="A4" activePane="bottomLeft" state="frozen"/>
      <selection pane="bottomLeft" activeCell="O6" sqref="O6:O9"/>
    </sheetView>
  </sheetViews>
  <sheetFormatPr defaultRowHeight="14.4" x14ac:dyDescent="0.3"/>
  <cols>
    <col min="1" max="1" width="2.33203125" customWidth="1"/>
    <col min="2" max="2" width="20.44140625" bestFit="1" customWidth="1"/>
    <col min="3" max="4" width="9" bestFit="1" customWidth="1"/>
    <col min="5" max="5" width="8.6640625" bestFit="1" customWidth="1"/>
    <col min="6" max="7" width="9" bestFit="1" customWidth="1"/>
    <col min="8" max="8" width="9.6640625" bestFit="1" customWidth="1"/>
    <col min="9" max="9" width="9" bestFit="1" customWidth="1"/>
    <col min="10" max="10" width="8.6640625" bestFit="1" customWidth="1"/>
    <col min="11" max="12" width="9" bestFit="1" customWidth="1"/>
    <col min="13" max="13" width="16.44140625" customWidth="1"/>
    <col min="14" max="14" width="15.33203125" customWidth="1"/>
    <col min="15" max="15" width="9.21875" customWidth="1"/>
  </cols>
  <sheetData>
    <row r="2" spans="2:15" x14ac:dyDescent="0.3">
      <c r="B2" s="74" t="str">
        <f>"Ratio Analysis - "&amp;UPDATE</f>
        <v>Ratio Analysis - TATA Motors Ltd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2:15" x14ac:dyDescent="0.3">
      <c r="B3" s="17" t="s">
        <v>75</v>
      </c>
      <c r="C3" s="18">
        <f>'Data Sheet'!B16</f>
        <v>42825</v>
      </c>
      <c r="D3" s="18">
        <f>'Data Sheet'!C16</f>
        <v>43190</v>
      </c>
      <c r="E3" s="18">
        <f>'Data Sheet'!D16</f>
        <v>43555</v>
      </c>
      <c r="F3" s="18">
        <f>'Data Sheet'!E16</f>
        <v>43921</v>
      </c>
      <c r="G3" s="18">
        <f>'Data Sheet'!F16</f>
        <v>44286</v>
      </c>
      <c r="H3" s="18">
        <f>'Data Sheet'!G16</f>
        <v>44651</v>
      </c>
      <c r="I3" s="18">
        <f>'Data Sheet'!H16</f>
        <v>45016</v>
      </c>
      <c r="J3" s="18">
        <f>'Data Sheet'!I16</f>
        <v>45382</v>
      </c>
      <c r="K3" s="18">
        <f>'Data Sheet'!J16</f>
        <v>45747</v>
      </c>
      <c r="L3" s="18">
        <f>'Data Sheet'!K16</f>
        <v>46112</v>
      </c>
      <c r="M3" s="19" t="s">
        <v>180</v>
      </c>
      <c r="N3" s="18" t="s">
        <v>178</v>
      </c>
      <c r="O3" s="18" t="s">
        <v>179</v>
      </c>
    </row>
    <row r="5" spans="2:15" x14ac:dyDescent="0.3">
      <c r="B5" s="42" t="s">
        <v>145</v>
      </c>
      <c r="C5" s="42"/>
      <c r="D5" s="43">
        <f>IFERROR(HistoricalFS!D7,0)</f>
        <v>0.26031434782873442</v>
      </c>
      <c r="E5" s="43">
        <f>IFERROR(HistoricalFS!E7,0)</f>
        <v>0.1072187862388867</v>
      </c>
      <c r="F5" s="43">
        <f>IFERROR(HistoricalFS!F7,0)</f>
        <v>6.9901811040802952E-2</v>
      </c>
      <c r="G5" s="43">
        <f>IFERROR(HistoricalFS!G7,0)</f>
        <v>0.18434298113946368</v>
      </c>
      <c r="H5" s="43">
        <f>IFERROR(HistoricalFS!H7,0)</f>
        <v>0.24183177608717354</v>
      </c>
      <c r="I5" s="43">
        <f>IFERROR(HistoricalFS!I7,0)</f>
        <v>0.1266119773033596</v>
      </c>
      <c r="J5" s="43">
        <f>IFERROR(HistoricalFS!J7,0)</f>
        <v>9.0373575950924989E-2</v>
      </c>
      <c r="K5" s="43">
        <f>IFERROR(HistoricalFS!K7,0)</f>
        <v>7.3073875321989723E-2</v>
      </c>
      <c r="L5" s="43">
        <f>IFERROR(HistoricalFS!L7,0)</f>
        <v>-0.43237670859657862</v>
      </c>
      <c r="M5" s="42"/>
      <c r="N5" s="43">
        <f>IFERROR(AVERAGE(D5:L5),0)</f>
        <v>8.0143602479417445E-2</v>
      </c>
      <c r="O5" s="43">
        <f>IFERROR(MEDIAN(C5:L5),0)</f>
        <v>0.1072187862388867</v>
      </c>
    </row>
    <row r="6" spans="2:15" x14ac:dyDescent="0.3">
      <c r="B6" t="s">
        <v>146</v>
      </c>
      <c r="D6" s="44">
        <f>IFERROR(HistoricalFS!D18/HistoricalFS!C18-1,0)</f>
        <v>0.69927399228616749</v>
      </c>
      <c r="E6" s="44">
        <f>IFERROR(HistoricalFS!E18/HistoricalFS!D18-1,0)</f>
        <v>0.19622154476067544</v>
      </c>
      <c r="F6" s="44">
        <f>IFERROR(HistoricalFS!F18/HistoricalFS!E18-1,0)</f>
        <v>0.15890023624830252</v>
      </c>
      <c r="G6" s="44">
        <f>IFERROR(HistoricalFS!G18/HistoricalFS!F18-1,0)</f>
        <v>0.12186391434854582</v>
      </c>
      <c r="H6" s="44">
        <f>IFERROR(HistoricalFS!H18/HistoricalFS!G18-1,0)</f>
        <v>0.14708617704711524</v>
      </c>
      <c r="I6" s="44">
        <f>IFERROR(HistoricalFS!I18/HistoricalFS!H18-1,0)</f>
        <v>0.14465330356363326</v>
      </c>
      <c r="J6" s="44">
        <f>IFERROR(HistoricalFS!J18/HistoricalFS!I18-1,0)</f>
        <v>0.14308909423764216</v>
      </c>
      <c r="K6" s="44">
        <f>IFERROR(HistoricalFS!K18/HistoricalFS!J18-1,0)</f>
        <v>0.53445695383178204</v>
      </c>
      <c r="L6" s="44">
        <f>IFERROR(HistoricalFS!L18/HistoricalFS!K18-1,0)</f>
        <v>-0.55806613942334571</v>
      </c>
      <c r="N6" s="44">
        <f t="shared" ref="N6:N9" si="0">IFERROR(AVERAGE(D6:L6),0)</f>
        <v>0.1763865641000576</v>
      </c>
      <c r="O6" s="43">
        <f t="shared" ref="O6:O9" si="1">IFERROR(MEDIAN(C6:L6),0)</f>
        <v>0.14708617704711524</v>
      </c>
    </row>
    <row r="7" spans="2:15" x14ac:dyDescent="0.3">
      <c r="B7" t="s">
        <v>149</v>
      </c>
      <c r="D7" s="44">
        <f>IFERROR(HistoricalFS!D32/HistoricalFS!C32-1,0)</f>
        <v>1.2753413865546204</v>
      </c>
      <c r="E7" s="44">
        <f>IFERROR(HistoricalFS!E32/HistoricalFS!D32-1,0)</f>
        <v>0.25569854001961967</v>
      </c>
      <c r="F7" s="44">
        <f>IFERROR(HistoricalFS!F32/HistoricalFS!E32-1,0)</f>
        <v>0.18602941176470611</v>
      </c>
      <c r="G7" s="44">
        <f>IFERROR(HistoricalFS!G32/HistoricalFS!F32-1,0)</f>
        <v>0.45613763174209776</v>
      </c>
      <c r="H7" s="44">
        <f>IFERROR(HistoricalFS!H32/HistoricalFS!G32-1,0)</f>
        <v>0.2923097392229892</v>
      </c>
      <c r="I7" s="44">
        <f>IFERROR(HistoricalFS!I32/HistoricalFS!H32-1,0)</f>
        <v>0.20164727684546579</v>
      </c>
      <c r="J7" s="44">
        <f>IFERROR(HistoricalFS!J32/HistoricalFS!I32-1,0)</f>
        <v>0.34732170396517925</v>
      </c>
      <c r="K7" s="44">
        <f>IFERROR(HistoricalFS!K32/HistoricalFS!J32-1,0)</f>
        <v>0.38298548844544622</v>
      </c>
      <c r="L7" s="44">
        <f>IFERROR(HistoricalFS!L32/HistoricalFS!K32-1,0)</f>
        <v>-0.59521795107596098</v>
      </c>
      <c r="N7" s="44">
        <f t="shared" si="0"/>
        <v>0.31136146972046269</v>
      </c>
      <c r="O7" s="43">
        <f t="shared" si="1"/>
        <v>0.2923097392229892</v>
      </c>
    </row>
    <row r="8" spans="2:15" x14ac:dyDescent="0.3">
      <c r="B8" t="s">
        <v>147</v>
      </c>
      <c r="D8" s="44">
        <f>IFERROR(HistoricalFS!D38/HistoricalFS!C38-1,0)</f>
        <v>1.5158305623825337</v>
      </c>
      <c r="E8" s="44">
        <f>IFERROR(HistoricalFS!E38/HistoricalFS!D38-1,0)</f>
        <v>9.2575566026892764E-2</v>
      </c>
      <c r="F8" s="44">
        <f>IFERROR(HistoricalFS!F38/HistoricalFS!E38-1,0)</f>
        <v>-3.050544364382235E-3</v>
      </c>
      <c r="G8" s="44">
        <f>IFERROR(HistoricalFS!G38/HistoricalFS!F38-1,0)</f>
        <v>0.2600369295700371</v>
      </c>
      <c r="H8" s="44">
        <f>IFERROR(HistoricalFS!H38/HistoricalFS!G38-1,0)</f>
        <v>0.2085915257075841</v>
      </c>
      <c r="I8" s="44">
        <f>IFERROR(HistoricalFS!I38/HistoricalFS!H38-1,0)</f>
        <v>0.18388415436846262</v>
      </c>
      <c r="J8" s="44">
        <f>IFERROR(HistoricalFS!J38/HistoricalFS!I38-1,0)</f>
        <v>0.72675133142154658</v>
      </c>
      <c r="K8" s="44">
        <f>IFERROR(HistoricalFS!K38/HistoricalFS!J38-1,0)</f>
        <v>0.40601592950347554</v>
      </c>
      <c r="L8" s="44">
        <f>IFERROR(HistoricalFS!L38/HistoricalFS!K38-1,0)</f>
        <v>-0.57308151237209071</v>
      </c>
      <c r="N8" s="44">
        <f t="shared" si="0"/>
        <v>0.31306154913822881</v>
      </c>
      <c r="O8" s="43">
        <f t="shared" si="1"/>
        <v>0.2085915257075841</v>
      </c>
    </row>
    <row r="9" spans="2:15" x14ac:dyDescent="0.3">
      <c r="B9" s="45" t="s">
        <v>148</v>
      </c>
      <c r="C9" s="45"/>
      <c r="D9" s="46">
        <f>IFERROR(HistoricalFS!D46/HistoricalFS!C46-1,0)</f>
        <v>-0.20056899004267426</v>
      </c>
      <c r="E9" s="46">
        <f>IFERROR(HistoricalFS!E46/HistoricalFS!D46-1,0)</f>
        <v>0</v>
      </c>
      <c r="F9" s="46">
        <f>IFERROR(HistoricalFS!F46/HistoricalFS!E46-1,0)</f>
        <v>0.2508896797153024</v>
      </c>
      <c r="G9" s="46">
        <f>IFERROR(HistoricalFS!G46/HistoricalFS!F46-1,0)</f>
        <v>0</v>
      </c>
      <c r="H9" s="46">
        <f>IFERROR(HistoricalFS!H46/HistoricalFS!G46-1,0)</f>
        <v>0</v>
      </c>
      <c r="I9" s="46">
        <f>IFERROR(HistoricalFS!I46/HistoricalFS!H46-1,0)</f>
        <v>0</v>
      </c>
      <c r="J9" s="46">
        <f>IFERROR(HistoricalFS!J46/HistoricalFS!I46-1,0)</f>
        <v>0</v>
      </c>
      <c r="K9" s="46">
        <f>IFERROR(HistoricalFS!K46/HistoricalFS!J46-1,0)</f>
        <v>0</v>
      </c>
      <c r="L9" s="46">
        <f>IFERROR(HistoricalFS!L46/HistoricalFS!K46-1,0)</f>
        <v>0</v>
      </c>
      <c r="M9" s="45"/>
      <c r="N9" s="46">
        <f t="shared" si="0"/>
        <v>5.5911877414031273E-3</v>
      </c>
      <c r="O9" s="43">
        <f t="shared" si="1"/>
        <v>0</v>
      </c>
    </row>
    <row r="11" spans="2:15" x14ac:dyDescent="0.3">
      <c r="B11" s="42" t="s">
        <v>89</v>
      </c>
      <c r="C11" s="43">
        <f>IFERROR(HistoricalFS!C13,0)</f>
        <v>0.20215208296541687</v>
      </c>
      <c r="D11" s="43">
        <f>IFERROR(HistoricalFS!D13,0)</f>
        <v>0.24331754928488594</v>
      </c>
      <c r="E11" s="43">
        <f>IFERROR(HistoricalFS!E13,0)</f>
        <v>0.2526249181758673</v>
      </c>
      <c r="F11" s="43">
        <f>IFERROR(HistoricalFS!F13,0)</f>
        <v>0.27704268093715323</v>
      </c>
      <c r="G11" s="43">
        <f>IFERROR(HistoricalFS!G13,0)</f>
        <v>0.26541949215292593</v>
      </c>
      <c r="H11" s="43">
        <f>IFERROR(HistoricalFS!H13,0)</f>
        <v>0.27776483573777938</v>
      </c>
      <c r="I11" s="43">
        <f>IFERROR(HistoricalFS!I13,0)</f>
        <v>0.24867072342185331</v>
      </c>
      <c r="J11" s="43">
        <f>IFERROR(HistoricalFS!J13,0)</f>
        <v>0.2605604708442732</v>
      </c>
      <c r="K11" s="43">
        <f>IFERROR(HistoricalFS!K13,0)</f>
        <v>0.36244022410307231</v>
      </c>
      <c r="L11" s="43">
        <f>IFERROR(HistoricalFS!L13,0)</f>
        <v>0.65813321670416347</v>
      </c>
      <c r="M11" s="54"/>
      <c r="N11" s="43">
        <f>IFERROR(AVERAGE(C11:L11),0)</f>
        <v>0.30481261943273907</v>
      </c>
      <c r="O11" s="43">
        <f t="shared" ref="O11:O41" si="2">IFERROR(AVERAGE(D11:M11),0)</f>
        <v>0.31621934570688598</v>
      </c>
    </row>
    <row r="12" spans="2:15" x14ac:dyDescent="0.3">
      <c r="B12" t="s">
        <v>150</v>
      </c>
      <c r="C12" s="44">
        <f>IFERROR(HistoricalFS!C19,0)</f>
        <v>0.16104693294684344</v>
      </c>
      <c r="D12" s="44">
        <f>IFERROR(HistoricalFS!D19,0)</f>
        <v>0.21713857750289908</v>
      </c>
      <c r="E12" s="44">
        <f>IFERROR(HistoricalFS!E19,0)</f>
        <v>0.23459306131355001</v>
      </c>
      <c r="F12" s="44">
        <f>IFERROR(HistoricalFS!F19,0)</f>
        <v>0.25410738758728701</v>
      </c>
      <c r="G12" s="44">
        <f>IFERROR(HistoricalFS!G19,0)</f>
        <v>0.24070215557767355</v>
      </c>
      <c r="H12" s="44">
        <f>IFERROR(HistoricalFS!H19,0)</f>
        <v>0.22233777615077838</v>
      </c>
      <c r="I12" s="44">
        <f>IFERROR(HistoricalFS!I19,0)</f>
        <v>0.22589824633956618</v>
      </c>
      <c r="J12" s="44">
        <f>IFERROR(HistoricalFS!J19,0)</f>
        <v>0.23681958871111564</v>
      </c>
      <c r="K12" s="44">
        <f>IFERROR(HistoricalFS!K19,0)</f>
        <v>0.33864347372385173</v>
      </c>
      <c r="L12" s="44">
        <f>IFERROR(HistoricalFS!L19,0)</f>
        <v>0.26365728814941386</v>
      </c>
      <c r="N12" s="44">
        <f t="shared" ref="N12:N31" si="3">IFERROR(AVERAGE(C12:L12),0)</f>
        <v>0.23949444880029791</v>
      </c>
      <c r="O12" s="44">
        <f t="shared" si="2"/>
        <v>0.24821083945068168</v>
      </c>
    </row>
    <row r="13" spans="2:15" x14ac:dyDescent="0.3">
      <c r="B13" t="s">
        <v>151</v>
      </c>
      <c r="C13" s="47">
        <f>IFERROR((HistoricalFS!C18-HistoricalFS!C26)/HistoricalFS!C6,0)</f>
        <v>9.0632288552063497E-2</v>
      </c>
      <c r="D13" s="44">
        <f>IFERROR((HistoricalFS!D18-HistoricalFS!D26)/HistoricalFS!D6,0)</f>
        <v>0.12359393119443368</v>
      </c>
      <c r="E13" s="44">
        <f>IFERROR((HistoricalFS!E18-HistoricalFS!E26)/HistoricalFS!E6,0)</f>
        <v>0.13416539384682516</v>
      </c>
      <c r="F13" s="44">
        <f>IFERROR((HistoricalFS!F18-HistoricalFS!F26)/HistoricalFS!F6,0)</f>
        <v>0.1504519349996736</v>
      </c>
      <c r="G13" s="44">
        <f>IFERROR((HistoricalFS!G18-HistoricalFS!G26)/HistoricalFS!G6,0)</f>
        <v>0.1753012608355749</v>
      </c>
      <c r="H13" s="44">
        <f>IFERROR((HistoricalFS!H18-HistoricalFS!H26)/HistoricalFS!H6,0)</f>
        <v>0.17660060679678954</v>
      </c>
      <c r="I13" s="44">
        <f>IFERROR((HistoricalFS!I18-HistoricalFS!I26)/HistoricalFS!I6,0)</f>
        <v>0.18141671343750923</v>
      </c>
      <c r="J13" s="44">
        <f>IFERROR((HistoricalFS!J18-HistoricalFS!J26)/HistoricalFS!J6,0)</f>
        <v>0.20141370676985376</v>
      </c>
      <c r="K13" s="44">
        <f>IFERROR((HistoricalFS!K18-HistoricalFS!K26)/HistoricalFS!K6,0)</f>
        <v>0.27253601280829431</v>
      </c>
      <c r="L13" s="44">
        <f>IFERROR((HistoricalFS!L18-HistoricalFS!L26)/HistoricalFS!L6,0)</f>
        <v>0.24161882276196162</v>
      </c>
      <c r="N13" s="44">
        <f t="shared" si="3"/>
        <v>0.17477306720029795</v>
      </c>
      <c r="O13" s="44">
        <f t="shared" si="2"/>
        <v>0.18412204260565729</v>
      </c>
    </row>
    <row r="14" spans="2:15" x14ac:dyDescent="0.3">
      <c r="B14" t="s">
        <v>152</v>
      </c>
      <c r="C14" s="44">
        <f>IFERROR(HistoricalFS!C33,0)</f>
        <v>4.6378788524660056E-2</v>
      </c>
      <c r="D14" s="44">
        <f>IFERROR(HistoricalFS!D33,0)</f>
        <v>8.373115577889445E-2</v>
      </c>
      <c r="E14" s="44">
        <f>IFERROR(HistoricalFS!E33,0)</f>
        <v>9.4959633427885576E-2</v>
      </c>
      <c r="F14" s="44">
        <f>IFERROR(HistoricalFS!F33,0)</f>
        <v>0.10526659270377857</v>
      </c>
      <c r="G14" s="44">
        <f>IFERROR(HistoricalFS!G33,0)</f>
        <v>0.12942420349700212</v>
      </c>
      <c r="H14" s="44">
        <f>IFERROR(HistoricalFS!H33,0)</f>
        <v>0.13468503696801276</v>
      </c>
      <c r="I14" s="44">
        <f>IFERROR(HistoricalFS!I33,0)</f>
        <v>0.14365541212497174</v>
      </c>
      <c r="J14" s="44">
        <f>IFERROR(HistoricalFS!J33,0)</f>
        <v>0.17750802011066727</v>
      </c>
      <c r="K14" s="44">
        <f>IFERROR(HistoricalFS!K33,0)</f>
        <v>0.2287736394869109</v>
      </c>
      <c r="L14" s="44">
        <f>IFERROR(HistoricalFS!L33,0)</f>
        <v>0.1631424642606959</v>
      </c>
      <c r="N14" s="44">
        <f t="shared" si="3"/>
        <v>0.13075249468834796</v>
      </c>
      <c r="O14" s="44">
        <f t="shared" si="2"/>
        <v>0.14012735092875772</v>
      </c>
    </row>
    <row r="15" spans="2:15" x14ac:dyDescent="0.3">
      <c r="B15" s="45" t="s">
        <v>153</v>
      </c>
      <c r="C15" s="46">
        <f>IFERROR(HistoricalFS!C39,0)</f>
        <v>4.2122121878292236E-2</v>
      </c>
      <c r="D15" s="46">
        <f>IFERROR(HistoricalFS!D39,0)</f>
        <v>8.4083880943177397E-2</v>
      </c>
      <c r="E15" s="46">
        <f>IFERROR(HistoricalFS!E39,0)</f>
        <v>8.2971852498363433E-2</v>
      </c>
      <c r="F15" s="46">
        <f>IFERROR(HistoricalFS!F39,0)</f>
        <v>7.7314331397245903E-2</v>
      </c>
      <c r="G15" s="46">
        <f>IFERROR(HistoricalFS!G39,0)</f>
        <v>8.2255659295433742E-2</v>
      </c>
      <c r="H15" s="46">
        <f>IFERROR(HistoricalFS!H39,0)</f>
        <v>8.0053912840907127E-2</v>
      </c>
      <c r="I15" s="46">
        <f>IFERROR(HistoricalFS!I39,0)</f>
        <v>8.4123514410342784E-2</v>
      </c>
      <c r="J15" s="46">
        <f>IFERROR(HistoricalFS!J39,0)</f>
        <v>0.13322075453381757</v>
      </c>
      <c r="K15" s="46">
        <f>IFERROR(HistoricalFS!K39,0)</f>
        <v>0.17455508639497436</v>
      </c>
      <c r="L15" s="46">
        <f>IFERROR(HistoricalFS!L39,0)</f>
        <v>0.13128565127631112</v>
      </c>
      <c r="M15" s="45"/>
      <c r="N15" s="46">
        <f t="shared" si="3"/>
        <v>9.7198676546886575E-2</v>
      </c>
      <c r="O15" s="46">
        <f t="shared" si="2"/>
        <v>0.10331829373228593</v>
      </c>
    </row>
    <row r="16" spans="2:15" x14ac:dyDescent="0.3">
      <c r="O16" s="26"/>
    </row>
    <row r="17" spans="2:15" x14ac:dyDescent="0.3">
      <c r="B17" s="42" t="s">
        <v>154</v>
      </c>
      <c r="C17" s="43">
        <f>IFERROR(HistoricalFS!C16,0)</f>
        <v>4.1105150018573434E-2</v>
      </c>
      <c r="D17" s="43">
        <f>IFERROR(HistoricalFS!D16,0)</f>
        <v>2.6178971781986859E-2</v>
      </c>
      <c r="E17" s="43">
        <f>IFERROR(HistoricalFS!E16,0)</f>
        <v>1.8031856862317258E-2</v>
      </c>
      <c r="F17" s="43">
        <f>IFERROR(HistoricalFS!F16,0)</f>
        <v>2.2935293349866218E-2</v>
      </c>
      <c r="G17" s="43">
        <f>IFERROR(HistoricalFS!G16,0)</f>
        <v>2.4717336575252356E-2</v>
      </c>
      <c r="H17" s="43">
        <f>IFERROR(HistoricalFS!H16,0)</f>
        <v>5.5427059587001018E-2</v>
      </c>
      <c r="I17" s="43">
        <f>IFERROR(HistoricalFS!I16,0)</f>
        <v>2.2772477082287142E-2</v>
      </c>
      <c r="J17" s="43">
        <f>IFERROR(HistoricalFS!J16,0)</f>
        <v>2.3740882133157542E-2</v>
      </c>
      <c r="K17" s="43">
        <f>IFERROR(HistoricalFS!K16,0)</f>
        <v>2.3796750379220605E-2</v>
      </c>
      <c r="L17" s="43">
        <f>IFERROR(HistoricalFS!L16,0)</f>
        <v>0.39447592855474956</v>
      </c>
      <c r="M17" s="42"/>
      <c r="N17" s="43">
        <f t="shared" si="3"/>
        <v>6.5318170632441191E-2</v>
      </c>
      <c r="O17" s="43">
        <f t="shared" si="2"/>
        <v>6.800850625620429E-2</v>
      </c>
    </row>
    <row r="18" spans="2:15" x14ac:dyDescent="0.3">
      <c r="B18" t="s">
        <v>155</v>
      </c>
      <c r="C18" s="44">
        <f>IFERROR(HistoricalFS!C27,0)</f>
        <v>7.0414644394779943E-2</v>
      </c>
      <c r="D18" s="44">
        <f>IFERROR(HistoricalFS!D27,0)</f>
        <v>9.3544646308465401E-2</v>
      </c>
      <c r="E18" s="44">
        <f>IFERROR(HistoricalFS!E27,0)</f>
        <v>0.10042766746672485</v>
      </c>
      <c r="F18" s="44">
        <f>IFERROR(HistoricalFS!F27,0)</f>
        <v>0.1036554525876134</v>
      </c>
      <c r="G18" s="44">
        <f>IFERROR(HistoricalFS!G27,0)</f>
        <v>6.5400894742098689E-2</v>
      </c>
      <c r="H18" s="44">
        <f>IFERROR(HistoricalFS!H27,0)</f>
        <v>4.5737169353988825E-2</v>
      </c>
      <c r="I18" s="44">
        <f>IFERROR(HistoricalFS!I27,0)</f>
        <v>4.4481532902056926E-2</v>
      </c>
      <c r="J18" s="44">
        <f>IFERROR(HistoricalFS!J27,0)</f>
        <v>3.5405881941261867E-2</v>
      </c>
      <c r="K18" s="44">
        <f>IFERROR(HistoricalFS!K27,0)</f>
        <v>6.6107460915557414E-2</v>
      </c>
      <c r="L18" s="44">
        <f>IFERROR(HistoricalFS!L27,0)</f>
        <v>2.203846538745223E-2</v>
      </c>
      <c r="N18" s="44">
        <f t="shared" si="3"/>
        <v>6.4721381599999947E-2</v>
      </c>
      <c r="O18" s="44">
        <f t="shared" si="2"/>
        <v>6.4088796845024387E-2</v>
      </c>
    </row>
    <row r="19" spans="2:15" x14ac:dyDescent="0.3">
      <c r="B19" s="45" t="s">
        <v>156</v>
      </c>
      <c r="C19" s="46">
        <f>C13</f>
        <v>9.0632288552063497E-2</v>
      </c>
      <c r="D19" s="46">
        <f t="shared" ref="D19:L19" si="4">D13</f>
        <v>0.12359393119443368</v>
      </c>
      <c r="E19" s="46">
        <f t="shared" si="4"/>
        <v>0.13416539384682516</v>
      </c>
      <c r="F19" s="46">
        <f t="shared" si="4"/>
        <v>0.1504519349996736</v>
      </c>
      <c r="G19" s="46">
        <f t="shared" si="4"/>
        <v>0.1753012608355749</v>
      </c>
      <c r="H19" s="46">
        <f t="shared" si="4"/>
        <v>0.17660060679678954</v>
      </c>
      <c r="I19" s="46">
        <f t="shared" si="4"/>
        <v>0.18141671343750923</v>
      </c>
      <c r="J19" s="46">
        <f t="shared" si="4"/>
        <v>0.20141370676985376</v>
      </c>
      <c r="K19" s="46">
        <f t="shared" si="4"/>
        <v>0.27253601280829431</v>
      </c>
      <c r="L19" s="46">
        <f t="shared" si="4"/>
        <v>0.24161882276196162</v>
      </c>
      <c r="M19" s="45"/>
      <c r="N19" s="46">
        <f t="shared" si="3"/>
        <v>0.17477306720029795</v>
      </c>
      <c r="O19" s="46">
        <f t="shared" si="2"/>
        <v>0.18412204260565729</v>
      </c>
    </row>
    <row r="20" spans="2:15" x14ac:dyDescent="0.3">
      <c r="O20" s="26"/>
    </row>
    <row r="21" spans="2:15" x14ac:dyDescent="0.3">
      <c r="B21" s="42" t="s">
        <v>157</v>
      </c>
      <c r="C21" s="43">
        <f>IFERROR((HistoricalFS!C29)/(SUM(HistoricalFS!C53:C55)),0)</f>
        <v>9.6953864995505096E-2</v>
      </c>
      <c r="D21" s="43">
        <f>IFERROR((HistoricalFS!D29)/(SUM(HistoricalFS!D53:D55)),0)</f>
        <v>0.1406861882342588</v>
      </c>
      <c r="E21" s="43">
        <f>IFERROR((HistoricalFS!E29)/(SUM(HistoricalFS!E53:E55)),0)</f>
        <v>0.14859136890233582</v>
      </c>
      <c r="F21" s="43">
        <f>IFERROR((HistoricalFS!F29)/(SUM(HistoricalFS!F53:F55)),0)</f>
        <v>0.15147010512483566</v>
      </c>
      <c r="G21" s="43">
        <f>IFERROR((HistoricalFS!G29)/(SUM(HistoricalFS!G53:G55)),0)</f>
        <v>0.18630109911828985</v>
      </c>
      <c r="H21" s="43">
        <f>IFERROR((HistoricalFS!H29)/(SUM(HistoricalFS!H53:H55)),0)</f>
        <v>0.16796307286514994</v>
      </c>
      <c r="I21" s="43">
        <f>IFERROR((HistoricalFS!I29)/(SUM(HistoricalFS!I53:I55)),0)</f>
        <v>0.21478407348903902</v>
      </c>
      <c r="J21" s="43">
        <f>IFERROR((HistoricalFS!J29)/(SUM(HistoricalFS!J53:J55)),0)</f>
        <v>0.18522647765327743</v>
      </c>
      <c r="K21" s="43">
        <f>IFERROR((HistoricalFS!K29)/(SUM(HistoricalFS!K53:K55)),0)</f>
        <v>0.20270395030239494</v>
      </c>
      <c r="L21" s="43">
        <f>IFERROR((HistoricalFS!L29)/(SUM(HistoricalFS!L53:L55)),0)</f>
        <v>8.7900337637401182E-2</v>
      </c>
      <c r="M21" s="42"/>
      <c r="N21" s="43">
        <f t="shared" si="3"/>
        <v>0.15825805383224878</v>
      </c>
      <c r="O21" s="43">
        <f t="shared" si="2"/>
        <v>0.16506963036966474</v>
      </c>
    </row>
    <row r="22" spans="2:15" x14ac:dyDescent="0.3">
      <c r="B22" t="s">
        <v>158</v>
      </c>
      <c r="C22" s="44">
        <f>IFERROR(HistoricalFS!C49,0)</f>
        <v>1.1016336562093392</v>
      </c>
      <c r="D22" s="44">
        <f>IFERROR(HistoricalFS!D49,0)</f>
        <v>1.0322951384898287</v>
      </c>
      <c r="E22" s="44">
        <f>IFERROR(HistoricalFS!E49,0)</f>
        <v>1.0295587229790144</v>
      </c>
      <c r="F22" s="44">
        <f>IFERROR(HistoricalFS!F49,0)</f>
        <v>1.0370878396201531</v>
      </c>
      <c r="G22" s="44">
        <f>IFERROR(HistoricalFS!G49,0)</f>
        <v>1.0294339306648803</v>
      </c>
      <c r="H22" s="44">
        <f>IFERROR(HistoricalFS!H49,0)</f>
        <v>1.0243539111757778</v>
      </c>
      <c r="I22" s="44">
        <f>IFERROR(HistoricalFS!I49,0)</f>
        <v>1.0205711944753322</v>
      </c>
      <c r="J22" s="44">
        <f>IFERROR(HistoricalFS!J49,0)</f>
        <v>1.0119132350449076</v>
      </c>
      <c r="K22" s="44">
        <f>IFERROR(HistoricalFS!K49,0)</f>
        <v>1.0084730441490195</v>
      </c>
      <c r="L22" s="44">
        <f>IFERROR(HistoricalFS!L49,0)</f>
        <v>1.01984698342791</v>
      </c>
      <c r="N22" s="44">
        <f t="shared" si="3"/>
        <v>1.0315167656236164</v>
      </c>
      <c r="O22" s="44">
        <f t="shared" si="2"/>
        <v>1.0237260000029802</v>
      </c>
    </row>
    <row r="23" spans="2:15" x14ac:dyDescent="0.3">
      <c r="B23" t="s">
        <v>159</v>
      </c>
      <c r="C23" s="44">
        <f>IFERROR(HistoricalFS!C38/SUM(HistoricalFS!C53:C54),0)</f>
        <v>8.4983782189895857E-2</v>
      </c>
      <c r="D23" s="44">
        <f>IFERROR(HistoricalFS!D38/SUM(HistoricalFS!D53:D54),0)</f>
        <v>0.1660876536611437</v>
      </c>
      <c r="E23" s="44">
        <f>IFERROR(HistoricalFS!E38/SUM(HistoricalFS!E53:E54),0)</f>
        <v>0.14504661204436903</v>
      </c>
      <c r="F23" s="44">
        <f>IFERROR(HistoricalFS!F38/SUM(HistoricalFS!F53:F54),0)</f>
        <v>0.12145502543795562</v>
      </c>
      <c r="G23" s="44">
        <f>IFERROR(HistoricalFS!G38/SUM(HistoricalFS!G53:G54),0)</f>
        <v>0.12137288979683115</v>
      </c>
      <c r="H23" s="44">
        <f>IFERROR(HistoricalFS!H38/SUM(HistoricalFS!H53:H54),0)</f>
        <v>0.12401029337847057</v>
      </c>
      <c r="I23" s="44">
        <f>IFERROR(HistoricalFS!I38/SUM(HistoricalFS!I53:I54),0)</f>
        <v>0.12296344271732879</v>
      </c>
      <c r="J23" s="44">
        <f>IFERROR(HistoricalFS!J38/SUM(HistoricalFS!J53:J54),0)</f>
        <v>0.16603125923216508</v>
      </c>
      <c r="K23" s="44">
        <f>IFERROR(HistoricalFS!K38/SUM(HistoricalFS!K53:K54),0)</f>
        <v>0.18270361447905614</v>
      </c>
      <c r="L23" s="44">
        <f>IFERROR(HistoricalFS!L38/SUM(HistoricalFS!L53:L54),0)</f>
        <v>7.1241092600749428E-2</v>
      </c>
      <c r="N23" s="44">
        <f>IFERROR(AVERAGE(C23:L23),0)</f>
        <v>0.13058956655379655</v>
      </c>
      <c r="O23" s="44">
        <f t="shared" si="2"/>
        <v>0.13565687592756326</v>
      </c>
    </row>
    <row r="24" spans="2:15" x14ac:dyDescent="0.3">
      <c r="B24" t="s">
        <v>160</v>
      </c>
      <c r="C24" s="44">
        <f>IFERROR(C22*C23,0)</f>
        <v>9.3620994692353091E-2</v>
      </c>
      <c r="D24" s="44">
        <f t="shared" ref="D24:L24" si="5">IFERROR(D22*D23,0)</f>
        <v>0.17145147743758105</v>
      </c>
      <c r="E24" s="44">
        <f t="shared" si="5"/>
        <v>0.14933400466883309</v>
      </c>
      <c r="F24" s="44">
        <f t="shared" si="5"/>
        <v>0.12595952994246012</v>
      </c>
      <c r="G24" s="44">
        <f t="shared" si="5"/>
        <v>0.12494537101970724</v>
      </c>
      <c r="H24" s="44">
        <f t="shared" si="5"/>
        <v>0.12703042904829198</v>
      </c>
      <c r="I24" s="44">
        <f t="shared" si="5"/>
        <v>0.12549294761082333</v>
      </c>
      <c r="J24" s="44">
        <f t="shared" si="5"/>
        <v>0.16800922864819984</v>
      </c>
      <c r="K24" s="44">
        <f t="shared" si="5"/>
        <v>0.18425167027072262</v>
      </c>
      <c r="L24" s="44">
        <f t="shared" si="5"/>
        <v>7.2655013384982703E-2</v>
      </c>
      <c r="N24" s="44">
        <f t="shared" si="3"/>
        <v>0.13427506667239547</v>
      </c>
      <c r="O24" s="44">
        <f t="shared" si="2"/>
        <v>0.1387921857812891</v>
      </c>
    </row>
    <row r="25" spans="2:15" x14ac:dyDescent="0.3">
      <c r="B25" s="45" t="s">
        <v>161</v>
      </c>
      <c r="C25" s="48">
        <f>IFERROR((HistoricalFS!C18-HistoricalFS!C26)/HistoricalFS!C23,0)</f>
        <v>2.0480253199394527</v>
      </c>
      <c r="D25" s="48">
        <f>IFERROR((HistoricalFS!D18-HistoricalFS!D26)/HistoricalFS!D23,0)</f>
        <v>3.1004848484848475</v>
      </c>
      <c r="E25" s="48">
        <f>IFERROR((HistoricalFS!E18-HistoricalFS!E26)/HistoricalFS!E23,0)</f>
        <v>3.4220837043633106</v>
      </c>
      <c r="F25" s="48">
        <f>IFERROR((HistoricalFS!F18-HistoricalFS!F26)/HistoricalFS!F23,0)</f>
        <v>3.3296623939339209</v>
      </c>
      <c r="G25" s="48">
        <f>IFERROR((HistoricalFS!G18-HistoricalFS!G26)/HistoricalFS!G23,0)</f>
        <v>3.8211095263118406</v>
      </c>
      <c r="H25" s="48">
        <f>IFERROR((HistoricalFS!H18-HistoricalFS!H26)/HistoricalFS!H23,0)</f>
        <v>4.2132459970887908</v>
      </c>
      <c r="I25" s="48">
        <f>IFERROR((HistoricalFS!I18-HistoricalFS!I26)/HistoricalFS!I23,0)</f>
        <v>4.8043024771838327</v>
      </c>
      <c r="J25" s="48">
        <f>IFERROR((HistoricalFS!J18-HistoricalFS!J26)/HistoricalFS!J23,0)</f>
        <v>8.4253470582680094</v>
      </c>
      <c r="K25" s="48">
        <f>IFERROR((HistoricalFS!K18-HistoricalFS!K26)/HistoricalFS!K23,0)</f>
        <v>6.2276332868612103</v>
      </c>
      <c r="L25" s="48">
        <f>IFERROR((HistoricalFS!L18-HistoricalFS!L26)/HistoricalFS!L23,0)</f>
        <v>3.078874037689511</v>
      </c>
      <c r="M25" s="45"/>
      <c r="N25" s="46">
        <f t="shared" si="3"/>
        <v>4.2470768650124722</v>
      </c>
      <c r="O25" s="46">
        <f t="shared" si="2"/>
        <v>4.491415925576141</v>
      </c>
    </row>
    <row r="26" spans="2:15" x14ac:dyDescent="0.3">
      <c r="O26" s="26"/>
    </row>
    <row r="27" spans="2:15" x14ac:dyDescent="0.3">
      <c r="B27" s="42" t="s">
        <v>162</v>
      </c>
      <c r="C27" s="49">
        <f>IFERROR(HistoricalFS!C6/HistoricalFS!C65,0)</f>
        <v>9.0380868512301173</v>
      </c>
      <c r="D27" s="49">
        <f>IFERROR(HistoricalFS!D6/HistoricalFS!D65,0)</f>
        <v>7.6896782343761609</v>
      </c>
      <c r="E27" s="49">
        <f>IFERROR(HistoricalFS!E6/HistoricalFS!E65,0)</f>
        <v>23.672520661157026</v>
      </c>
      <c r="F27" s="49">
        <f>IFERROR(HistoricalFS!F6/HistoricalFS!F65,0)</f>
        <v>14.037675350701402</v>
      </c>
      <c r="G27" s="49">
        <f>IFERROR(HistoricalFS!G6/HistoricalFS!G65,0)</f>
        <v>8.7230149908372638</v>
      </c>
      <c r="H27" s="49">
        <f>IFERROR(HistoricalFS!H6/HistoricalFS!H65,0)</f>
        <v>6.025668020253673</v>
      </c>
      <c r="I27" s="49">
        <f>IFERROR(HistoricalFS!I6/HistoricalFS!I65,0)</f>
        <v>6.5216888746187189</v>
      </c>
      <c r="J27" s="49">
        <f>IFERROR(HistoricalFS!J6/HistoricalFS!J65,0)</f>
        <v>6.5721386391287568</v>
      </c>
      <c r="K27" s="49">
        <f>IFERROR(HistoricalFS!K6/HistoricalFS!K65,0)</f>
        <v>5.1602071391349664</v>
      </c>
      <c r="L27" s="49">
        <f>IFERROR(HistoricalFS!L6/HistoricalFS!L65,0)</f>
        <v>3.3376342223761695</v>
      </c>
      <c r="M27" s="42"/>
      <c r="N27" s="49">
        <f t="shared" si="3"/>
        <v>9.0778312983814242</v>
      </c>
      <c r="O27" s="49">
        <f t="shared" si="2"/>
        <v>9.0822473480649037</v>
      </c>
    </row>
    <row r="28" spans="2:15" x14ac:dyDescent="0.3">
      <c r="B28" t="s">
        <v>163</v>
      </c>
      <c r="C28" s="50">
        <f>IFERROR(HistoricalFS!C6/HistoricalFS!C56,0)</f>
        <v>2.3222462630633691</v>
      </c>
      <c r="D28" s="50">
        <f>IFERROR(HistoricalFS!D6/HistoricalFS!D56,0)</f>
        <v>2.6203438758198065</v>
      </c>
      <c r="E28" s="50">
        <f>IFERROR(HistoricalFS!E6/HistoricalFS!E56,0)</f>
        <v>3.4718118873384545</v>
      </c>
      <c r="F28" s="50">
        <f>IFERROR(HistoricalFS!F6/HistoricalFS!F56,0)</f>
        <v>2.2952796449903565</v>
      </c>
      <c r="G28" s="50">
        <f>IFERROR(HistoricalFS!G6/HistoricalFS!G56,0)</f>
        <v>2.2773747245076432</v>
      </c>
      <c r="H28" s="50">
        <f>IFERROR(HistoricalFS!H6/HistoricalFS!H56,0)</f>
        <v>2.4378803039727401</v>
      </c>
      <c r="I28" s="50">
        <f>IFERROR(HistoricalFS!I6/HistoricalFS!I56,0)</f>
        <v>4.4604556684051611</v>
      </c>
      <c r="J28" s="50">
        <f>IFERROR(HistoricalFS!J6/HistoricalFS!J56,0)</f>
        <v>4.4869226094003238</v>
      </c>
      <c r="K28" s="50">
        <f>IFERROR(HistoricalFS!K6/HistoricalFS!K56,0)</f>
        <v>6.4170458074010073</v>
      </c>
      <c r="L28" s="50">
        <f>IFERROR(HistoricalFS!L6/HistoricalFS!L56,0)</f>
        <v>3.8252824998936643</v>
      </c>
      <c r="N28" s="50">
        <f t="shared" si="3"/>
        <v>3.461464328479253</v>
      </c>
      <c r="O28" s="50">
        <f t="shared" si="2"/>
        <v>3.5880441135254619</v>
      </c>
    </row>
    <row r="29" spans="2:15" x14ac:dyDescent="0.3">
      <c r="B29" t="s">
        <v>164</v>
      </c>
      <c r="C29" s="50">
        <f>HistoricalFS!C6/HistoricalFS!C66</f>
        <v>20.388999255028558</v>
      </c>
      <c r="D29" s="50">
        <f>HistoricalFS!D6/HistoricalFS!D66</f>
        <v>27.576282478347768</v>
      </c>
      <c r="E29" s="50">
        <f>HistoricalFS!E6/HistoricalFS!E66</f>
        <v>22.645518331850973</v>
      </c>
      <c r="F29" s="50">
        <f>HistoricalFS!F6/HistoricalFS!F66</f>
        <v>19.906463137382268</v>
      </c>
      <c r="G29" s="50">
        <f>HistoricalFS!G6/HistoricalFS!G66</f>
        <v>19.620447327522129</v>
      </c>
      <c r="H29" s="50">
        <f>HistoricalFS!H6/HistoricalFS!H66</f>
        <v>15.85603095730179</v>
      </c>
      <c r="I29" s="50">
        <f>HistoricalFS!I6/HistoricalFS!I66</f>
        <v>17.343465824189899</v>
      </c>
      <c r="J29" s="50">
        <f>HistoricalFS!J6/HistoricalFS!J66</f>
        <v>20.054738081224247</v>
      </c>
      <c r="K29" s="50">
        <f>HistoricalFS!K6/HistoricalFS!K66</f>
        <v>29.63138208341126</v>
      </c>
      <c r="L29" s="50">
        <f>HistoricalFS!L6/HistoricalFS!L66</f>
        <v>20.314810631729539</v>
      </c>
      <c r="N29" s="50">
        <f t="shared" si="3"/>
        <v>21.333813810798844</v>
      </c>
      <c r="O29" s="50">
        <f t="shared" si="2"/>
        <v>21.438793205884433</v>
      </c>
    </row>
    <row r="30" spans="2:15" x14ac:dyDescent="0.3">
      <c r="B30" t="s">
        <v>165</v>
      </c>
      <c r="C30" s="50">
        <f>IFERROR(HistoricalFS!C6/HistoricalFS!C59,0)</f>
        <v>1.3367604441405361</v>
      </c>
      <c r="D30" s="50">
        <f>IFERROR(HistoricalFS!D6/HistoricalFS!D59,0)</f>
        <v>1.5429231744138368</v>
      </c>
      <c r="E30" s="50">
        <f>IFERROR(HistoricalFS!E6/HistoricalFS!E59,0)</f>
        <v>1.735301244964105</v>
      </c>
      <c r="F30" s="50">
        <f>IFERROR(HistoricalFS!F6/HistoricalFS!F59,0)</f>
        <v>1.9231577791374468</v>
      </c>
      <c r="G30" s="50">
        <f>IFERROR(HistoricalFS!G6/HistoricalFS!G59,0)</f>
        <v>3.7417912371134023</v>
      </c>
      <c r="H30" s="50">
        <f>IFERROR(HistoricalFS!H6/HistoricalFS!H59,0)</f>
        <v>4.0519384200471968</v>
      </c>
      <c r="I30" s="50">
        <f>IFERROR(HistoricalFS!I6/HistoricalFS!I59,0)</f>
        <v>4.5619378095206011</v>
      </c>
      <c r="J30" s="50">
        <f>IFERROR(HistoricalFS!J6/HistoricalFS!J59,0)</f>
        <v>5.4931916265687777</v>
      </c>
      <c r="K30" s="50">
        <f>IFERROR(HistoricalFS!K6/HistoricalFS!K59,0)</f>
        <v>9.8519462753388893</v>
      </c>
      <c r="L30" s="50">
        <f>IFERROR(HistoricalFS!L6/HistoricalFS!L59,0)</f>
        <v>6.2902406043084964</v>
      </c>
      <c r="N30" s="50">
        <f t="shared" si="3"/>
        <v>4.0529188615553284</v>
      </c>
      <c r="O30" s="50">
        <f t="shared" si="2"/>
        <v>4.3547142412680833</v>
      </c>
    </row>
    <row r="31" spans="2:15" x14ac:dyDescent="0.3">
      <c r="B31" s="45" t="s">
        <v>166</v>
      </c>
      <c r="C31" s="48">
        <f>IFERROR(HistoricalFS!C6/SUM(HistoricalFS!C53:C54),0)</f>
        <v>2.0175570080597605</v>
      </c>
      <c r="D31" s="48">
        <f>IFERROR(HistoricalFS!D6/SUM(HistoricalFS!D53:D54),0)</f>
        <v>1.9752615102695272</v>
      </c>
      <c r="E31" s="48">
        <f>IFERROR(HistoricalFS!E6/SUM(HistoricalFS!E53:E54),0)</f>
        <v>1.7481423841564823</v>
      </c>
      <c r="F31" s="48">
        <f>IFERROR(HistoricalFS!F6/SUM(HistoricalFS!F53:F54),0)</f>
        <v>1.5709251214229878</v>
      </c>
      <c r="G31" s="48">
        <f>IFERROR(HistoricalFS!G6/SUM(HistoricalFS!G53:G54),0)</f>
        <v>1.4755567074224269</v>
      </c>
      <c r="H31" s="48">
        <f>IFERROR(HistoricalFS!H6/SUM(HistoricalFS!H53:H54),0)</f>
        <v>1.549084722753264</v>
      </c>
      <c r="I31" s="48">
        <f>IFERROR(HistoricalFS!I6/SUM(HistoricalFS!I53:I54),0)</f>
        <v>1.461701208981002</v>
      </c>
      <c r="J31" s="48">
        <f>IFERROR(HistoricalFS!J6/SUM(HistoricalFS!J53:J54),0)</f>
        <v>1.2462867352250186</v>
      </c>
      <c r="K31" s="48">
        <f>IFERROR(HistoricalFS!K6/SUM(HistoricalFS!K53:K54),0)</f>
        <v>1.0466816994701817</v>
      </c>
      <c r="L31" s="48">
        <f>IFERROR(HistoricalFS!L6/SUM(HistoricalFS!L53:L54),0)</f>
        <v>0.54264187981069956</v>
      </c>
      <c r="M31" s="45"/>
      <c r="N31" s="48">
        <f t="shared" si="3"/>
        <v>1.4633838977571352</v>
      </c>
      <c r="O31" s="48">
        <f t="shared" si="2"/>
        <v>1.40180910772351</v>
      </c>
    </row>
    <row r="32" spans="2:15" x14ac:dyDescent="0.3">
      <c r="O32" s="26"/>
    </row>
    <row r="33" spans="2:15" x14ac:dyDescent="0.3">
      <c r="B33" s="41" t="s">
        <v>177</v>
      </c>
      <c r="O33" s="26"/>
    </row>
    <row r="34" spans="2:15" x14ac:dyDescent="0.3">
      <c r="B34" s="42" t="s">
        <v>167</v>
      </c>
      <c r="C34" s="51">
        <f>IFERROR(365/C27,0)</f>
        <v>40.384652859396027</v>
      </c>
      <c r="D34" s="51">
        <f t="shared" ref="D34:L34" si="6">IFERROR(365/D27,0)</f>
        <v>47.466225357557015</v>
      </c>
      <c r="E34" s="51">
        <f t="shared" si="6"/>
        <v>15.418721361553567</v>
      </c>
      <c r="F34" s="51">
        <f t="shared" si="6"/>
        <v>26.001456144358155</v>
      </c>
      <c r="G34" s="51">
        <f t="shared" si="6"/>
        <v>41.843330589641241</v>
      </c>
      <c r="H34" s="51">
        <f t="shared" si="6"/>
        <v>60.574196715310244</v>
      </c>
      <c r="I34" s="51">
        <f t="shared" si="6"/>
        <v>55.967097943067579</v>
      </c>
      <c r="J34" s="51">
        <f t="shared" si="6"/>
        <v>55.537477226497863</v>
      </c>
      <c r="K34" s="51">
        <f t="shared" si="6"/>
        <v>70.733594632634635</v>
      </c>
      <c r="L34" s="51">
        <f t="shared" si="6"/>
        <v>109.35889785434449</v>
      </c>
      <c r="M34" s="42"/>
      <c r="N34" s="51">
        <f t="shared" ref="N34:N37" si="7">IFERROR(AVERAGE(C34:L34),0)</f>
        <v>52.328565068436077</v>
      </c>
      <c r="O34" s="51">
        <f t="shared" si="2"/>
        <v>53.655666424996099</v>
      </c>
    </row>
    <row r="35" spans="2:15" x14ac:dyDescent="0.3">
      <c r="B35" t="s">
        <v>168</v>
      </c>
      <c r="C35" s="52">
        <f>IFERROR(365/C28,0)</f>
        <v>157.17540633201997</v>
      </c>
      <c r="D35" s="52">
        <f t="shared" ref="D35:L35" si="8">IFERROR(365/D28,0)</f>
        <v>139.29469462698108</v>
      </c>
      <c r="E35" s="52">
        <f t="shared" si="8"/>
        <v>105.13242417630373</v>
      </c>
      <c r="F35" s="52">
        <f t="shared" si="8"/>
        <v>159.02201755530905</v>
      </c>
      <c r="G35" s="52">
        <f t="shared" si="8"/>
        <v>160.27226265054432</v>
      </c>
      <c r="H35" s="52">
        <f t="shared" si="8"/>
        <v>149.72023007249391</v>
      </c>
      <c r="I35" s="52">
        <f t="shared" si="8"/>
        <v>81.830204610128092</v>
      </c>
      <c r="J35" s="52">
        <f t="shared" si="8"/>
        <v>81.347514047892659</v>
      </c>
      <c r="K35" s="52">
        <f t="shared" si="8"/>
        <v>56.879756036497746</v>
      </c>
      <c r="L35" s="52">
        <f t="shared" si="8"/>
        <v>95.417789407748657</v>
      </c>
      <c r="N35" s="52">
        <f t="shared" si="7"/>
        <v>118.60922995159194</v>
      </c>
      <c r="O35" s="52">
        <f t="shared" si="2"/>
        <v>114.32409924265546</v>
      </c>
    </row>
    <row r="36" spans="2:15" x14ac:dyDescent="0.3">
      <c r="B36" t="s">
        <v>169</v>
      </c>
      <c r="C36" s="52">
        <f>IFERROR(365/C29,0)</f>
        <v>17.901810453496374</v>
      </c>
      <c r="D36" s="52">
        <f t="shared" ref="D36:L36" si="9">IFERROR(365/D29,0)</f>
        <v>13.23601178971782</v>
      </c>
      <c r="E36" s="52">
        <f t="shared" si="9"/>
        <v>16.117979489417412</v>
      </c>
      <c r="F36" s="52">
        <f t="shared" si="9"/>
        <v>18.33575344253736</v>
      </c>
      <c r="G36" s="52">
        <f t="shared" si="9"/>
        <v>18.603041709859728</v>
      </c>
      <c r="H36" s="52">
        <f t="shared" si="9"/>
        <v>23.01963215024599</v>
      </c>
      <c r="I36" s="52">
        <f t="shared" si="9"/>
        <v>21.045389871897125</v>
      </c>
      <c r="J36" s="52">
        <f t="shared" si="9"/>
        <v>18.200187832007749</v>
      </c>
      <c r="K36" s="52">
        <f t="shared" si="9"/>
        <v>12.318021446739754</v>
      </c>
      <c r="L36" s="52">
        <f t="shared" si="9"/>
        <v>17.967186926660759</v>
      </c>
      <c r="N36" s="52">
        <f t="shared" si="7"/>
        <v>17.674501511258008</v>
      </c>
      <c r="O36" s="52">
        <f t="shared" si="2"/>
        <v>17.649244962120409</v>
      </c>
    </row>
    <row r="37" spans="2:15" x14ac:dyDescent="0.3">
      <c r="B37" s="45" t="s">
        <v>170</v>
      </c>
      <c r="C37" s="53">
        <f>SUM(C34,C36-C35)</f>
        <v>-98.888943019127566</v>
      </c>
      <c r="D37" s="53">
        <f t="shared" ref="D37:L37" si="10">SUM(D34,D36-D35)</f>
        <v>-78.592457479706241</v>
      </c>
      <c r="E37" s="53">
        <f t="shared" si="10"/>
        <v>-73.595723325332756</v>
      </c>
      <c r="F37" s="53">
        <f t="shared" si="10"/>
        <v>-114.68480796841352</v>
      </c>
      <c r="G37" s="53">
        <f t="shared" si="10"/>
        <v>-99.825890351043356</v>
      </c>
      <c r="H37" s="53">
        <f t="shared" si="10"/>
        <v>-66.126401206937658</v>
      </c>
      <c r="I37" s="53">
        <f t="shared" si="10"/>
        <v>-4.8177167951633848</v>
      </c>
      <c r="J37" s="53">
        <f t="shared" si="10"/>
        <v>-7.6098489893870465</v>
      </c>
      <c r="K37" s="53">
        <f t="shared" si="10"/>
        <v>26.171860042876645</v>
      </c>
      <c r="L37" s="53">
        <f t="shared" si="10"/>
        <v>31.908295373256593</v>
      </c>
      <c r="M37" s="45"/>
      <c r="N37" s="53">
        <f t="shared" si="7"/>
        <v>-48.606163371897821</v>
      </c>
      <c r="O37" s="53">
        <f t="shared" si="2"/>
        <v>-43.019187855538974</v>
      </c>
    </row>
    <row r="38" spans="2:15" x14ac:dyDescent="0.3">
      <c r="O38" s="26"/>
    </row>
    <row r="39" spans="2:15" x14ac:dyDescent="0.3">
      <c r="B39" s="42" t="s">
        <v>171</v>
      </c>
      <c r="C39" s="43">
        <f>IFERROR(HistoricalFS!C115/HistoricalFS!C6,0)</f>
        <v>0.22268029936728517</v>
      </c>
      <c r="D39" s="43">
        <f>IFERROR(HistoricalFS!D115/HistoricalFS!D6,0)</f>
        <v>0.10657614998067259</v>
      </c>
      <c r="E39" s="43">
        <f>IFERROR(HistoricalFS!E115/HistoricalFS!E6,0)</f>
        <v>0.11167794021383373</v>
      </c>
      <c r="F39" s="43">
        <f>IFERROR(HistoricalFS!F115/HistoricalFS!F6,0)</f>
        <v>9.4066109769627371E-2</v>
      </c>
      <c r="G39" s="43">
        <f>IFERROR(HistoricalFS!G115/HistoricalFS!G6,0)</f>
        <v>-2.6032931193023905E-2</v>
      </c>
      <c r="H39" s="43">
        <f>IFERROR(HistoricalFS!H115/HistoricalFS!H6,0)</f>
        <v>-9.3304712936308515E-2</v>
      </c>
      <c r="I39" s="43">
        <f>IFERROR(HistoricalFS!I115/HistoricalFS!I6,0)</f>
        <v>0.2939498222707983</v>
      </c>
      <c r="J39" s="43">
        <f>IFERROR(HistoricalFS!J115/HistoricalFS!J6,0)</f>
        <v>-6.7077699690032036E-2</v>
      </c>
      <c r="K39" s="43">
        <f>IFERROR(HistoricalFS!K115/HistoricalFS!K6,0)</f>
        <v>-0.11920044938430564</v>
      </c>
      <c r="L39" s="43">
        <f>IFERROR(HistoricalFS!L115/HistoricalFS!L6,0)</f>
        <v>-5.5244420887987811E-2</v>
      </c>
      <c r="M39" s="42"/>
      <c r="N39" s="43">
        <f t="shared" ref="N39:N41" si="11">IFERROR(AVERAGE(C39:L39),0)</f>
        <v>4.6809010751055931E-2</v>
      </c>
      <c r="O39" s="43">
        <f t="shared" si="2"/>
        <v>2.7267756460363786E-2</v>
      </c>
    </row>
    <row r="40" spans="2:15" x14ac:dyDescent="0.3">
      <c r="B40" t="s">
        <v>172</v>
      </c>
      <c r="C40" s="44">
        <f>IFERROR(HistoricalFS!C115/HistoricalFS!C70,0)</f>
        <v>0.16308608993885443</v>
      </c>
      <c r="D40" s="44">
        <f>IFERROR(HistoricalFS!D115/HistoricalFS!D70,0)</f>
        <v>8.4575035084624883E-2</v>
      </c>
      <c r="E40" s="44">
        <f>IFERROR(HistoricalFS!E115/HistoricalFS!E70,0)</f>
        <v>9.3772214608693102E-2</v>
      </c>
      <c r="F40" s="44">
        <f>IFERROR(HistoricalFS!F115/HistoricalFS!F70,0)</f>
        <v>6.5828609270010913E-2</v>
      </c>
      <c r="G40" s="44">
        <f>IFERROR(HistoricalFS!G115/HistoricalFS!G70,0)</f>
        <v>-1.8863639766618919E-2</v>
      </c>
      <c r="H40" s="44">
        <f>IFERROR(HistoricalFS!H115/HistoricalFS!H70,0)</f>
        <v>-6.3836609851755016E-2</v>
      </c>
      <c r="I40" s="44">
        <f>IFERROR(HistoricalFS!I115/HistoricalFS!I70,0)</f>
        <v>0.27501779129942122</v>
      </c>
      <c r="J40" s="44">
        <f>IFERROR(HistoricalFS!J115/HistoricalFS!J70,0)</f>
        <v>-5.1194133488634143E-2</v>
      </c>
      <c r="K40" s="44">
        <f>IFERROR(HistoricalFS!K115/HistoricalFS!K70,0)</f>
        <v>-7.9449081241165787E-2</v>
      </c>
      <c r="L40" s="44">
        <f>IFERROR(HistoricalFS!L115/HistoricalFS!L70,0)</f>
        <v>-1.8352408099439148E-2</v>
      </c>
      <c r="N40" s="44">
        <f t="shared" si="11"/>
        <v>4.5058386775399153E-2</v>
      </c>
      <c r="O40" s="44">
        <f t="shared" si="2"/>
        <v>3.1944197535015234E-2</v>
      </c>
    </row>
    <row r="41" spans="2:15" x14ac:dyDescent="0.3">
      <c r="B41" s="45" t="s">
        <v>173</v>
      </c>
      <c r="C41" s="46">
        <f>IFERROR(HistoricalFS!C115/HistoricalFS!C55,0)</f>
        <v>0.50707213578500709</v>
      </c>
      <c r="D41" s="46">
        <f>IFERROR(HistoricalFS!D115/HistoricalFS!D55,0)</f>
        <v>0.28630581516095532</v>
      </c>
      <c r="E41" s="46">
        <f>IFERROR(HistoricalFS!E115/HistoricalFS!E55,0)</f>
        <v>0.33751862940346339</v>
      </c>
      <c r="F41" s="46">
        <f>IFERROR(HistoricalFS!F115/HistoricalFS!F55,0)</f>
        <v>0.26370434742836235</v>
      </c>
      <c r="G41" s="46">
        <f>IFERROR(HistoricalFS!G115/HistoricalFS!G55,0)</f>
        <v>-9.8891897902848094E-2</v>
      </c>
      <c r="H41" s="46">
        <f>IFERROR(HistoricalFS!H115/HistoricalFS!H55,0)</f>
        <v>-0.22988097352993428</v>
      </c>
      <c r="I41" s="46">
        <f>IFERROR(HistoricalFS!I115/HistoricalFS!I55,0)</f>
        <v>1.8313192037542561</v>
      </c>
      <c r="J41" s="46">
        <f>IFERROR(HistoricalFS!J115/HistoricalFS!J55,0)</f>
        <v>-0.2353537593865847</v>
      </c>
      <c r="K41" s="46">
        <f>IFERROR(HistoricalFS!K115/HistoricalFS!K55,0)</f>
        <v>-0.30634722379925061</v>
      </c>
      <c r="L41" s="46">
        <f>IFERROR(HistoricalFS!L115/HistoricalFS!L55,0)</f>
        <v>-6.0979850669939661E-2</v>
      </c>
      <c r="M41" s="45"/>
      <c r="N41" s="46">
        <f t="shared" si="11"/>
        <v>0.22944664262434866</v>
      </c>
      <c r="O41" s="46">
        <f t="shared" si="2"/>
        <v>0.19859936560649777</v>
      </c>
    </row>
  </sheetData>
  <mergeCells count="1">
    <mergeCell ref="B2:O2"/>
  </mergeCells>
  <pageMargins left="0.7" right="0.7" top="0.75" bottom="0.75" header="0.3" footer="0.3"/>
  <legacy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05A4FD2-74AD-4B85-88C5-0B432027DA7F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markers="1" xr2:uid="{4EB5C5F3-EC49-4FAA-B11D-CAD8C47A3B7E}">
          <x14:colorSeries rgb="FF376092"/>
          <x14:colorNegative rgb="FFD00000"/>
          <x14:colorAxis rgb="FF000000"/>
          <x14:colorMarkers rgb="FFFF0066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F667-BCEE-4860-8E62-7C67BDB201BD}">
  <dimension ref="B2:L35"/>
  <sheetViews>
    <sheetView topLeftCell="A19" workbookViewId="0">
      <selection activeCell="H41" sqref="H41"/>
    </sheetView>
  </sheetViews>
  <sheetFormatPr defaultRowHeight="14.4" x14ac:dyDescent="0.3"/>
  <cols>
    <col min="2" max="2" width="22.33203125" customWidth="1"/>
    <col min="3" max="12" width="7.109375" bestFit="1" customWidth="1"/>
  </cols>
  <sheetData>
    <row r="2" spans="2:12" x14ac:dyDescent="0.3">
      <c r="C2" s="29">
        <v>42795</v>
      </c>
      <c r="D2" s="29">
        <v>43160</v>
      </c>
      <c r="E2" s="29">
        <v>43525</v>
      </c>
      <c r="F2" s="29">
        <v>43891</v>
      </c>
      <c r="G2" s="29">
        <v>44256</v>
      </c>
      <c r="H2" s="29">
        <v>44621</v>
      </c>
      <c r="I2" s="29">
        <v>44986</v>
      </c>
      <c r="J2" s="29">
        <v>45352</v>
      </c>
      <c r="K2" s="29">
        <v>45717</v>
      </c>
      <c r="L2" s="29">
        <v>46082</v>
      </c>
    </row>
    <row r="3" spans="2:12" x14ac:dyDescent="0.3">
      <c r="B3" t="s">
        <v>134</v>
      </c>
      <c r="C3" s="30">
        <v>30199</v>
      </c>
      <c r="D3" s="30">
        <v>23857</v>
      </c>
      <c r="E3" s="30">
        <v>18891</v>
      </c>
      <c r="F3" s="30">
        <v>26633</v>
      </c>
      <c r="G3" s="30">
        <v>29001</v>
      </c>
      <c r="H3" s="30">
        <v>14283</v>
      </c>
      <c r="I3" s="30">
        <v>35388</v>
      </c>
      <c r="J3" s="30">
        <v>67915</v>
      </c>
      <c r="K3" s="30">
        <v>63102</v>
      </c>
      <c r="L3" s="30">
        <v>13041</v>
      </c>
    </row>
    <row r="4" spans="2:12" x14ac:dyDescent="0.3">
      <c r="B4" t="s">
        <v>107</v>
      </c>
      <c r="C4" s="30">
        <v>28840</v>
      </c>
      <c r="D4" s="30">
        <v>33312</v>
      </c>
      <c r="E4" s="30">
        <v>28771</v>
      </c>
      <c r="F4" s="30">
        <v>23352</v>
      </c>
      <c r="G4" s="30">
        <v>31198</v>
      </c>
      <c r="H4" s="30">
        <v>26943</v>
      </c>
      <c r="I4" s="30">
        <v>41694</v>
      </c>
      <c r="J4" s="30">
        <v>65106</v>
      </c>
      <c r="K4" s="30">
        <v>58937</v>
      </c>
      <c r="L4" s="30">
        <v>25393</v>
      </c>
    </row>
    <row r="5" spans="2:12" x14ac:dyDescent="0.3">
      <c r="B5" t="s">
        <v>63</v>
      </c>
      <c r="C5" s="30">
        <v>-4152</v>
      </c>
      <c r="D5" s="30">
        <v>-10688</v>
      </c>
      <c r="E5" s="30">
        <v>-9109</v>
      </c>
      <c r="F5" s="30">
        <v>9950</v>
      </c>
      <c r="G5" s="30">
        <v>-5505</v>
      </c>
      <c r="H5">
        <v>185</v>
      </c>
      <c r="I5" s="30">
        <v>-2213</v>
      </c>
      <c r="J5" s="30">
        <v>-1876</v>
      </c>
      <c r="K5" s="30">
        <v>3573</v>
      </c>
      <c r="L5" s="30">
        <v>-1587</v>
      </c>
    </row>
    <row r="6" spans="2:12" x14ac:dyDescent="0.3">
      <c r="B6" t="s">
        <v>43</v>
      </c>
      <c r="C6" s="30">
        <v>-6621</v>
      </c>
      <c r="D6" s="30">
        <v>-3560</v>
      </c>
      <c r="E6" s="30">
        <v>2069</v>
      </c>
      <c r="F6" s="30">
        <v>2326</v>
      </c>
      <c r="G6" s="30">
        <v>3814</v>
      </c>
      <c r="H6">
        <v>472</v>
      </c>
      <c r="I6" s="30">
        <v>-5665</v>
      </c>
      <c r="J6" s="30">
        <v>-7265</v>
      </c>
      <c r="K6" s="30">
        <v>2127</v>
      </c>
      <c r="L6" s="30">
        <v>-4318</v>
      </c>
    </row>
    <row r="7" spans="2:12" x14ac:dyDescent="0.3">
      <c r="B7" t="s">
        <v>108</v>
      </c>
      <c r="C7" s="30">
        <v>9301</v>
      </c>
      <c r="D7" s="30">
        <v>7320</v>
      </c>
      <c r="E7" s="30">
        <v>-4692</v>
      </c>
      <c r="F7" s="30">
        <v>-8085</v>
      </c>
      <c r="G7" s="30">
        <v>5748</v>
      </c>
      <c r="H7" s="30">
        <v>-7012</v>
      </c>
      <c r="I7" s="30">
        <v>6945</v>
      </c>
      <c r="J7" s="30">
        <v>13706</v>
      </c>
      <c r="K7" s="30">
        <v>1303</v>
      </c>
      <c r="L7" s="30">
        <v>-1973</v>
      </c>
    </row>
    <row r="8" spans="2:12" x14ac:dyDescent="0.3">
      <c r="B8" t="s">
        <v>109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-815</v>
      </c>
    </row>
    <row r="9" spans="2:12" x14ac:dyDescent="0.3">
      <c r="B9" t="s">
        <v>110</v>
      </c>
      <c r="C9" s="30">
        <v>4727</v>
      </c>
      <c r="D9">
        <v>494</v>
      </c>
      <c r="E9" s="30">
        <v>4512</v>
      </c>
      <c r="F9">
        <v>875</v>
      </c>
      <c r="G9" s="30">
        <v>-4150</v>
      </c>
      <c r="H9" s="30">
        <v>-4396</v>
      </c>
      <c r="I9" s="30">
        <v>-2194</v>
      </c>
      <c r="J9" s="30">
        <v>2760</v>
      </c>
      <c r="K9" s="30">
        <v>1153</v>
      </c>
      <c r="L9">
        <v>-345</v>
      </c>
    </row>
    <row r="10" spans="2:12" x14ac:dyDescent="0.3">
      <c r="B10" t="s">
        <v>111</v>
      </c>
      <c r="C10" s="30">
        <v>3254</v>
      </c>
      <c r="D10" s="30">
        <v>-6434</v>
      </c>
      <c r="E10" s="30">
        <v>-7221</v>
      </c>
      <c r="F10" s="30">
        <v>5065</v>
      </c>
      <c r="G10">
        <v>-93</v>
      </c>
      <c r="H10" s="30">
        <v>-10750</v>
      </c>
      <c r="I10" s="30">
        <v>-3127</v>
      </c>
      <c r="J10" s="30">
        <v>7325</v>
      </c>
      <c r="K10" s="30">
        <v>8156</v>
      </c>
      <c r="L10" s="30">
        <v>-9038</v>
      </c>
    </row>
    <row r="11" spans="2:12" x14ac:dyDescent="0.3">
      <c r="B11" t="s">
        <v>112</v>
      </c>
      <c r="C11" s="30">
        <v>-1895</v>
      </c>
      <c r="D11" s="30">
        <v>-3021</v>
      </c>
      <c r="E11" s="30">
        <v>-2659</v>
      </c>
      <c r="F11" s="30">
        <v>-1785</v>
      </c>
      <c r="G11" s="30">
        <v>-2105</v>
      </c>
      <c r="H11" s="30">
        <v>-1910</v>
      </c>
      <c r="I11" s="30">
        <v>-3179</v>
      </c>
      <c r="J11" s="30">
        <v>-4516</v>
      </c>
      <c r="K11" s="30">
        <v>-3991</v>
      </c>
      <c r="L11" s="30">
        <v>-3314</v>
      </c>
    </row>
    <row r="12" spans="2:12" x14ac:dyDescent="0.3">
      <c r="B12" t="s">
        <v>135</v>
      </c>
      <c r="C12" s="30">
        <v>-39571</v>
      </c>
      <c r="D12" s="30">
        <v>-25139</v>
      </c>
      <c r="E12" s="30">
        <v>-20878</v>
      </c>
      <c r="F12" s="30">
        <v>-33115</v>
      </c>
      <c r="G12" s="30">
        <v>-25672</v>
      </c>
      <c r="H12" s="30">
        <v>-4444</v>
      </c>
      <c r="I12" s="30">
        <v>-15417</v>
      </c>
      <c r="J12" s="30">
        <v>-22781</v>
      </c>
      <c r="K12" s="30">
        <v>-49982</v>
      </c>
      <c r="L12" s="30">
        <v>-24810</v>
      </c>
    </row>
    <row r="13" spans="2:12" x14ac:dyDescent="0.3">
      <c r="B13" t="s">
        <v>113</v>
      </c>
      <c r="C13" s="30">
        <v>-16072</v>
      </c>
      <c r="D13" s="30">
        <v>-35079</v>
      </c>
      <c r="E13" s="30">
        <v>-35304</v>
      </c>
      <c r="F13" s="30">
        <v>-29702</v>
      </c>
      <c r="G13" s="30">
        <v>-20205</v>
      </c>
      <c r="H13" s="30">
        <v>-15168</v>
      </c>
      <c r="I13" s="30">
        <v>-19230</v>
      </c>
      <c r="J13" s="30">
        <v>-31414</v>
      </c>
      <c r="K13" s="30">
        <v>-38042</v>
      </c>
      <c r="L13" s="30">
        <v>-36282</v>
      </c>
    </row>
    <row r="14" spans="2:12" x14ac:dyDescent="0.3">
      <c r="B14" t="s">
        <v>114</v>
      </c>
      <c r="C14">
        <v>53</v>
      </c>
      <c r="D14">
        <v>30</v>
      </c>
      <c r="E14">
        <v>67</v>
      </c>
      <c r="F14">
        <v>171</v>
      </c>
      <c r="G14">
        <v>351</v>
      </c>
      <c r="H14">
        <v>230</v>
      </c>
      <c r="I14">
        <v>285</v>
      </c>
      <c r="J14">
        <v>231</v>
      </c>
      <c r="K14">
        <v>974</v>
      </c>
      <c r="L14">
        <v>46</v>
      </c>
    </row>
    <row r="15" spans="2:12" x14ac:dyDescent="0.3">
      <c r="B15" t="s">
        <v>115</v>
      </c>
      <c r="C15">
        <v>-6</v>
      </c>
      <c r="D15">
        <v>-329</v>
      </c>
      <c r="E15">
        <v>-130</v>
      </c>
      <c r="F15" s="30">
        <v>-1439</v>
      </c>
      <c r="G15" s="30">
        <v>-7530</v>
      </c>
      <c r="H15" s="30">
        <v>-3008</v>
      </c>
      <c r="I15">
        <v>-50</v>
      </c>
      <c r="J15">
        <v>-74</v>
      </c>
      <c r="K15" s="30">
        <v>-12677</v>
      </c>
      <c r="L15">
        <v>-102</v>
      </c>
    </row>
    <row r="16" spans="2:12" x14ac:dyDescent="0.3">
      <c r="B16" t="s">
        <v>116</v>
      </c>
      <c r="C16" s="30">
        <v>1965</v>
      </c>
      <c r="D16" s="30">
        <v>2381</v>
      </c>
      <c r="E16" s="30">
        <v>5644</v>
      </c>
      <c r="F16">
        <v>21</v>
      </c>
      <c r="G16">
        <v>226</v>
      </c>
      <c r="H16">
        <v>104</v>
      </c>
      <c r="I16" s="30">
        <v>6895</v>
      </c>
      <c r="J16" s="30">
        <v>10821</v>
      </c>
      <c r="K16">
        <v>111</v>
      </c>
      <c r="L16" s="30">
        <v>10704</v>
      </c>
    </row>
    <row r="17" spans="2:12" x14ac:dyDescent="0.3">
      <c r="B17" t="s">
        <v>117</v>
      </c>
      <c r="C17">
        <v>638</v>
      </c>
      <c r="D17">
        <v>690</v>
      </c>
      <c r="E17">
        <v>761</v>
      </c>
      <c r="F17" s="30">
        <v>1104</v>
      </c>
      <c r="G17">
        <v>428</v>
      </c>
      <c r="H17">
        <v>653</v>
      </c>
      <c r="I17">
        <v>973</v>
      </c>
      <c r="J17" s="30">
        <v>2493</v>
      </c>
      <c r="K17" s="30">
        <v>2420</v>
      </c>
      <c r="L17" s="30">
        <v>1940</v>
      </c>
    </row>
    <row r="18" spans="2:12" x14ac:dyDescent="0.3">
      <c r="B18" t="s">
        <v>118</v>
      </c>
      <c r="C18">
        <v>620</v>
      </c>
      <c r="D18" s="30">
        <v>1797</v>
      </c>
      <c r="E18">
        <v>232</v>
      </c>
      <c r="F18">
        <v>21</v>
      </c>
      <c r="G18">
        <v>18</v>
      </c>
      <c r="H18">
        <v>32</v>
      </c>
      <c r="I18">
        <v>46</v>
      </c>
      <c r="J18">
        <v>47</v>
      </c>
      <c r="K18">
        <v>64</v>
      </c>
      <c r="L18">
        <v>199</v>
      </c>
    </row>
    <row r="19" spans="2:12" x14ac:dyDescent="0.3">
      <c r="B19" t="s">
        <v>119</v>
      </c>
      <c r="C19">
        <v>-107</v>
      </c>
      <c r="D19">
        <v>-4</v>
      </c>
      <c r="E19">
        <v>-9</v>
      </c>
      <c r="F19">
        <v>-606</v>
      </c>
      <c r="G19">
        <v>-10</v>
      </c>
      <c r="H19">
        <v>0</v>
      </c>
      <c r="I19">
        <v>0</v>
      </c>
      <c r="J19">
        <v>-150</v>
      </c>
      <c r="K19">
        <v>0</v>
      </c>
      <c r="L19">
        <v>-5</v>
      </c>
    </row>
    <row r="20" spans="2:12" x14ac:dyDescent="0.3">
      <c r="B20" t="s">
        <v>120</v>
      </c>
      <c r="C20">
        <v>0</v>
      </c>
      <c r="D20">
        <v>14</v>
      </c>
      <c r="E20">
        <v>533</v>
      </c>
      <c r="F20">
        <v>0</v>
      </c>
      <c r="G20">
        <v>0</v>
      </c>
      <c r="H20">
        <v>0</v>
      </c>
      <c r="I20">
        <v>19</v>
      </c>
      <c r="J20">
        <v>107</v>
      </c>
      <c r="K20">
        <v>765</v>
      </c>
      <c r="L20">
        <v>0</v>
      </c>
    </row>
    <row r="21" spans="2:12" x14ac:dyDescent="0.3">
      <c r="B21" t="s">
        <v>121</v>
      </c>
      <c r="C21">
        <v>0</v>
      </c>
      <c r="D21">
        <v>0</v>
      </c>
      <c r="E21">
        <v>-8</v>
      </c>
      <c r="F21">
        <v>-27</v>
      </c>
      <c r="G21">
        <v>0</v>
      </c>
      <c r="H21">
        <v>-98</v>
      </c>
      <c r="I21">
        <v>0</v>
      </c>
      <c r="J21">
        <v>0</v>
      </c>
      <c r="K21">
        <v>-688</v>
      </c>
      <c r="L21">
        <v>-512</v>
      </c>
    </row>
    <row r="22" spans="2:12" x14ac:dyDescent="0.3">
      <c r="B22" t="s">
        <v>122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-25</v>
      </c>
      <c r="K22">
        <v>-20</v>
      </c>
      <c r="L22">
        <v>-83</v>
      </c>
    </row>
    <row r="23" spans="2:12" x14ac:dyDescent="0.3">
      <c r="B23" t="s">
        <v>123</v>
      </c>
      <c r="C23" s="30">
        <v>-26663</v>
      </c>
      <c r="D23" s="30">
        <v>5360</v>
      </c>
      <c r="E23" s="30">
        <v>7335</v>
      </c>
      <c r="F23" s="30">
        <v>-2659</v>
      </c>
      <c r="G23" s="30">
        <v>1051</v>
      </c>
      <c r="H23" s="30">
        <v>12813</v>
      </c>
      <c r="I23" s="30">
        <v>-4357</v>
      </c>
      <c r="J23" s="30">
        <v>-4817</v>
      </c>
      <c r="K23" s="30">
        <v>-2889</v>
      </c>
      <c r="L23">
        <v>-715</v>
      </c>
    </row>
    <row r="24" spans="2:12" x14ac:dyDescent="0.3">
      <c r="B24" t="s">
        <v>136</v>
      </c>
      <c r="C24" s="30">
        <v>6205</v>
      </c>
      <c r="D24" s="30">
        <v>2012</v>
      </c>
      <c r="E24" s="30">
        <v>8830</v>
      </c>
      <c r="F24" s="30">
        <v>3390</v>
      </c>
      <c r="G24" s="30">
        <v>9904</v>
      </c>
      <c r="H24" s="30">
        <v>-3380</v>
      </c>
      <c r="I24" s="30">
        <v>-26243</v>
      </c>
      <c r="J24" s="30">
        <v>-37006</v>
      </c>
      <c r="K24" s="30">
        <v>-18786</v>
      </c>
      <c r="L24" s="30">
        <v>-1344</v>
      </c>
    </row>
    <row r="25" spans="2:12" x14ac:dyDescent="0.3">
      <c r="B25" t="s">
        <v>124</v>
      </c>
      <c r="C25">
        <v>5</v>
      </c>
      <c r="D25">
        <v>0</v>
      </c>
      <c r="E25">
        <v>0</v>
      </c>
      <c r="F25" s="30">
        <v>3889</v>
      </c>
      <c r="G25" s="30">
        <v>2603</v>
      </c>
      <c r="H25">
        <v>19</v>
      </c>
      <c r="I25">
        <v>20</v>
      </c>
      <c r="J25">
        <v>82</v>
      </c>
      <c r="K25" s="30">
        <v>1108</v>
      </c>
      <c r="L25">
        <v>18</v>
      </c>
    </row>
    <row r="26" spans="2:12" x14ac:dyDescent="0.3">
      <c r="B26" t="s">
        <v>125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2:12" x14ac:dyDescent="0.3">
      <c r="B27" t="s">
        <v>126</v>
      </c>
      <c r="C27" s="30">
        <v>33390</v>
      </c>
      <c r="D27" s="30">
        <v>37482</v>
      </c>
      <c r="E27" s="30">
        <v>51128</v>
      </c>
      <c r="F27" s="30">
        <v>38297</v>
      </c>
      <c r="G27" s="30">
        <v>46641</v>
      </c>
      <c r="H27" s="30">
        <v>46578</v>
      </c>
      <c r="I27" s="30">
        <v>43934</v>
      </c>
      <c r="J27" s="30">
        <v>18829</v>
      </c>
      <c r="K27" s="30">
        <v>13384</v>
      </c>
      <c r="L27" s="30">
        <v>26425</v>
      </c>
    </row>
    <row r="28" spans="2:12" x14ac:dyDescent="0.3">
      <c r="B28" t="s">
        <v>127</v>
      </c>
      <c r="C28" s="30">
        <v>-21732</v>
      </c>
      <c r="D28" s="30">
        <v>-29964</v>
      </c>
      <c r="E28" s="30">
        <v>-35198</v>
      </c>
      <c r="F28" s="30">
        <v>-29847</v>
      </c>
      <c r="G28" s="30">
        <v>-29709</v>
      </c>
      <c r="H28" s="30">
        <v>-42816</v>
      </c>
      <c r="I28" s="30">
        <v>-62557</v>
      </c>
      <c r="J28" s="30">
        <v>-47414</v>
      </c>
      <c r="K28" s="30">
        <v>-21443</v>
      </c>
      <c r="L28" s="30">
        <v>-18110</v>
      </c>
    </row>
    <row r="29" spans="2:12" x14ac:dyDescent="0.3">
      <c r="B29" t="s">
        <v>128</v>
      </c>
      <c r="C29" s="30">
        <v>-5336</v>
      </c>
      <c r="D29" s="30">
        <v>-5411</v>
      </c>
      <c r="E29" s="30">
        <v>-7005</v>
      </c>
      <c r="F29" s="30">
        <v>-7518</v>
      </c>
      <c r="G29" s="30">
        <v>-8123</v>
      </c>
      <c r="H29" s="30">
        <v>-9251</v>
      </c>
      <c r="I29" s="30">
        <v>-9336</v>
      </c>
      <c r="J29" s="30">
        <v>-9332</v>
      </c>
      <c r="K29" s="30">
        <v>-5814</v>
      </c>
      <c r="L29" s="30">
        <v>-5111</v>
      </c>
    </row>
    <row r="30" spans="2:12" x14ac:dyDescent="0.3">
      <c r="B30" t="s">
        <v>129</v>
      </c>
      <c r="C30">
        <v>-121</v>
      </c>
      <c r="D30">
        <v>-96</v>
      </c>
      <c r="E30">
        <v>-95</v>
      </c>
      <c r="F30">
        <v>-57</v>
      </c>
      <c r="G30">
        <v>-30</v>
      </c>
      <c r="H30">
        <v>-100</v>
      </c>
      <c r="I30">
        <v>-141</v>
      </c>
      <c r="J30" s="30">
        <v>-1059</v>
      </c>
      <c r="K30" s="30">
        <v>-2492</v>
      </c>
      <c r="L30" s="30">
        <v>-2203</v>
      </c>
    </row>
    <row r="31" spans="2:12" x14ac:dyDescent="0.3">
      <c r="B31" t="s">
        <v>130</v>
      </c>
      <c r="C31">
        <v>0</v>
      </c>
      <c r="D31">
        <v>0</v>
      </c>
      <c r="E31">
        <v>0</v>
      </c>
      <c r="F31" s="30">
        <v>-1346</v>
      </c>
      <c r="G31" s="30">
        <v>-1477</v>
      </c>
      <c r="H31" s="30">
        <v>-1559</v>
      </c>
      <c r="I31" s="30">
        <v>-1517</v>
      </c>
      <c r="J31" s="30">
        <v>-1924</v>
      </c>
      <c r="K31" s="30">
        <v>-2393</v>
      </c>
      <c r="L31" s="30">
        <v>-2145</v>
      </c>
    </row>
    <row r="32" spans="2:12" x14ac:dyDescent="0.3">
      <c r="B32" t="s">
        <v>131</v>
      </c>
      <c r="C32">
        <v>0</v>
      </c>
      <c r="D32">
        <v>0</v>
      </c>
      <c r="E32">
        <v>0</v>
      </c>
      <c r="F32">
        <v>-29</v>
      </c>
      <c r="G32">
        <v>0</v>
      </c>
      <c r="H32" s="30">
        <v>3750</v>
      </c>
      <c r="I32" s="30">
        <v>3355</v>
      </c>
      <c r="J32" s="30">
        <v>3812</v>
      </c>
      <c r="K32" s="30">
        <v>-1136</v>
      </c>
      <c r="L32">
        <v>-218</v>
      </c>
    </row>
    <row r="33" spans="2:12" x14ac:dyDescent="0.3">
      <c r="B33" t="s">
        <v>34</v>
      </c>
      <c r="C33" s="30">
        <v>-3167</v>
      </c>
      <c r="D33">
        <v>730</v>
      </c>
      <c r="E33" s="30">
        <v>6843</v>
      </c>
      <c r="F33" s="30">
        <v>-3092</v>
      </c>
      <c r="G33" s="30">
        <v>13232</v>
      </c>
      <c r="H33" s="30">
        <v>6459</v>
      </c>
      <c r="I33" s="30">
        <v>-6272</v>
      </c>
      <c r="J33" s="30">
        <v>8128</v>
      </c>
      <c r="K33" s="30">
        <v>-5666</v>
      </c>
      <c r="L33" s="30">
        <v>-13113</v>
      </c>
    </row>
    <row r="34" spans="2:12" x14ac:dyDescent="0.3">
      <c r="B34" t="s">
        <v>132</v>
      </c>
      <c r="C34" s="30">
        <v>14181</v>
      </c>
      <c r="D34" s="30">
        <v>-11191</v>
      </c>
      <c r="E34" s="30">
        <v>-16346</v>
      </c>
      <c r="F34" s="30">
        <v>-2898</v>
      </c>
      <c r="G34" s="30">
        <v>9146</v>
      </c>
      <c r="H34">
        <v>-655</v>
      </c>
      <c r="I34" s="30">
        <v>16443</v>
      </c>
      <c r="J34" s="30">
        <v>36732</v>
      </c>
      <c r="K34" s="30">
        <v>26034</v>
      </c>
      <c r="L34" s="30">
        <v>-23195</v>
      </c>
    </row>
    <row r="35" spans="2:12" x14ac:dyDescent="0.3">
      <c r="B35" t="s">
        <v>133</v>
      </c>
      <c r="C35" s="31">
        <v>1.08</v>
      </c>
      <c r="D35" s="31">
        <v>0.85</v>
      </c>
      <c r="E35" s="31">
        <v>0.87</v>
      </c>
      <c r="F35" s="31">
        <v>1.58</v>
      </c>
      <c r="G35" s="31">
        <v>0.96</v>
      </c>
      <c r="H35" s="31">
        <v>0.66</v>
      </c>
      <c r="I35" s="31">
        <v>1.21</v>
      </c>
      <c r="J35" s="31">
        <v>1.25</v>
      </c>
      <c r="K35" s="31">
        <v>1.2</v>
      </c>
      <c r="L35" s="31">
        <v>0.87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/>
  </sheetPr>
  <dimension ref="A1:K93"/>
  <sheetViews>
    <sheetView zoomScaleNormal="100" zoomScalePageLayoutView="120" workbookViewId="0">
      <pane xSplit="1" ySplit="1" topLeftCell="G14" activePane="bottomRight" state="frozen"/>
      <selection activeCell="C4" sqref="C4"/>
      <selection pane="topRight" activeCell="C4" sqref="C4"/>
      <selection pane="bottomLeft" activeCell="C4" sqref="C4"/>
      <selection pane="bottomRight" activeCell="B17" sqref="B17:K17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48</v>
      </c>
      <c r="E1" s="75" t="s">
        <v>76</v>
      </c>
      <c r="F1" s="75"/>
      <c r="G1" s="75"/>
      <c r="H1" s="75"/>
      <c r="I1" s="75"/>
      <c r="J1" s="75"/>
      <c r="K1" s="75"/>
    </row>
    <row r="2" spans="1:11" x14ac:dyDescent="0.3">
      <c r="A2" s="1" t="s">
        <v>46</v>
      </c>
      <c r="B2" s="4">
        <v>2.1</v>
      </c>
      <c r="E2" s="76" t="s">
        <v>35</v>
      </c>
      <c r="F2" s="76"/>
      <c r="G2" s="76"/>
      <c r="H2" s="76"/>
      <c r="I2" s="76"/>
      <c r="J2" s="76"/>
      <c r="K2" s="76"/>
    </row>
    <row r="3" spans="1:11" x14ac:dyDescent="0.3">
      <c r="A3" s="1" t="s">
        <v>47</v>
      </c>
      <c r="B3" s="4">
        <v>2.1</v>
      </c>
    </row>
    <row r="4" spans="1:11" x14ac:dyDescent="0.3">
      <c r="A4" s="1"/>
    </row>
    <row r="5" spans="1:11" x14ac:dyDescent="0.3">
      <c r="A5" s="1" t="s">
        <v>49</v>
      </c>
    </row>
    <row r="6" spans="1:11" x14ac:dyDescent="0.3">
      <c r="A6" s="4" t="s">
        <v>41</v>
      </c>
      <c r="B6" s="4">
        <f>IF(B9&gt;0, B9/B8, 0)</f>
        <v>28.123283346487764</v>
      </c>
    </row>
    <row r="7" spans="1:11" x14ac:dyDescent="0.3">
      <c r="A7" s="4" t="s">
        <v>30</v>
      </c>
      <c r="B7">
        <v>2</v>
      </c>
    </row>
    <row r="8" spans="1:11" x14ac:dyDescent="0.3">
      <c r="A8" s="4" t="s">
        <v>42</v>
      </c>
      <c r="B8">
        <v>126.7</v>
      </c>
    </row>
    <row r="9" spans="1:11" x14ac:dyDescent="0.3">
      <c r="A9" s="4" t="s">
        <v>64</v>
      </c>
      <c r="B9">
        <v>3563.22</v>
      </c>
    </row>
    <row r="15" spans="1:11" x14ac:dyDescent="0.3">
      <c r="A15" s="1" t="s">
        <v>36</v>
      </c>
    </row>
    <row r="16" spans="1:11" s="15" customFormat="1" x14ac:dyDescent="0.3">
      <c r="A16" s="14" t="s">
        <v>37</v>
      </c>
      <c r="B16" s="11">
        <v>42825</v>
      </c>
      <c r="C16" s="11">
        <v>43190</v>
      </c>
      <c r="D16" s="11">
        <v>43555</v>
      </c>
      <c r="E16" s="11">
        <v>43921</v>
      </c>
      <c r="F16" s="11">
        <v>44286</v>
      </c>
      <c r="G16" s="11">
        <v>44651</v>
      </c>
      <c r="H16" s="11">
        <v>45016</v>
      </c>
      <c r="I16" s="11">
        <v>45382</v>
      </c>
      <c r="J16" s="11">
        <v>45747</v>
      </c>
      <c r="K16" s="11">
        <v>46112</v>
      </c>
    </row>
    <row r="17" spans="1:11" s="6" customFormat="1" x14ac:dyDescent="0.3">
      <c r="A17" s="6" t="s">
        <v>6</v>
      </c>
      <c r="B17">
        <v>1642.13</v>
      </c>
      <c r="C17">
        <v>2069.6</v>
      </c>
      <c r="D17">
        <v>2291.5</v>
      </c>
      <c r="E17">
        <v>2451.6799999999998</v>
      </c>
      <c r="F17">
        <v>2903.63</v>
      </c>
      <c r="G17">
        <v>3605.82</v>
      </c>
      <c r="H17">
        <v>4062.36</v>
      </c>
      <c r="I17">
        <v>4429.49</v>
      </c>
      <c r="J17">
        <v>4753.17</v>
      </c>
      <c r="K17">
        <v>2698.01</v>
      </c>
    </row>
    <row r="18" spans="1:11" s="6" customFormat="1" x14ac:dyDescent="0.3">
      <c r="A18" s="4" t="s">
        <v>65</v>
      </c>
      <c r="B18">
        <v>361.85</v>
      </c>
      <c r="C18">
        <v>506.86</v>
      </c>
      <c r="D18">
        <v>643.78</v>
      </c>
      <c r="E18">
        <v>753.28</v>
      </c>
      <c r="F18">
        <v>926.45</v>
      </c>
      <c r="G18">
        <v>1180.72</v>
      </c>
      <c r="H18">
        <v>1494.74</v>
      </c>
      <c r="I18">
        <v>1660.15</v>
      </c>
      <c r="J18">
        <v>1466.44</v>
      </c>
      <c r="K18">
        <v>770.27</v>
      </c>
    </row>
    <row r="19" spans="1:11" s="6" customFormat="1" x14ac:dyDescent="0.3">
      <c r="A19" s="4" t="s">
        <v>66</v>
      </c>
      <c r="B19">
        <v>-2.41</v>
      </c>
      <c r="C19">
        <v>-5.98</v>
      </c>
      <c r="D19">
        <v>1.31</v>
      </c>
      <c r="E19"/>
      <c r="F19"/>
      <c r="G19"/>
      <c r="H19"/>
      <c r="I19"/>
      <c r="J19"/>
      <c r="K19"/>
    </row>
    <row r="20" spans="1:11" s="6" customFormat="1" x14ac:dyDescent="0.3">
      <c r="A20" s="4" t="s">
        <v>67</v>
      </c>
      <c r="B20">
        <v>5.19</v>
      </c>
      <c r="C20">
        <v>7.42</v>
      </c>
      <c r="D20">
        <v>10.33</v>
      </c>
      <c r="E20">
        <v>15.47</v>
      </c>
      <c r="F20">
        <v>17.23</v>
      </c>
      <c r="G20">
        <v>20.65</v>
      </c>
      <c r="H20">
        <v>20.23</v>
      </c>
      <c r="I20">
        <v>23.32</v>
      </c>
      <c r="J20">
        <v>21.5</v>
      </c>
    </row>
    <row r="21" spans="1:11" s="6" customFormat="1" x14ac:dyDescent="0.3">
      <c r="A21" s="4" t="s">
        <v>68</v>
      </c>
      <c r="B21">
        <v>881.9</v>
      </c>
      <c r="C21">
        <v>971.48</v>
      </c>
      <c r="D21">
        <v>964.67</v>
      </c>
      <c r="E21">
        <v>876.36</v>
      </c>
      <c r="F21">
        <v>1055.6199999999999</v>
      </c>
      <c r="G21">
        <v>1256.4000000000001</v>
      </c>
      <c r="H21">
        <v>1362.41</v>
      </c>
      <c r="I21">
        <v>1417.16</v>
      </c>
      <c r="J21">
        <v>1364.84</v>
      </c>
    </row>
    <row r="22" spans="1:11" s="6" customFormat="1" x14ac:dyDescent="0.3">
      <c r="A22" s="4" t="s">
        <v>69</v>
      </c>
      <c r="B22">
        <v>58.82</v>
      </c>
      <c r="C22">
        <v>74.290000000000006</v>
      </c>
      <c r="D22">
        <v>95.14</v>
      </c>
      <c r="E22">
        <v>127.35</v>
      </c>
      <c r="F22">
        <v>133.65</v>
      </c>
      <c r="G22">
        <v>146.47999999999999</v>
      </c>
      <c r="H22">
        <v>174.79</v>
      </c>
      <c r="I22">
        <v>174.71</v>
      </c>
      <c r="J22">
        <v>177.65</v>
      </c>
      <c r="K22">
        <v>152.09</v>
      </c>
    </row>
    <row r="23" spans="1:11" s="6" customFormat="1" x14ac:dyDescent="0.3">
      <c r="A23" s="4" t="s">
        <v>70</v>
      </c>
      <c r="B23">
        <v>95.34</v>
      </c>
      <c r="C23">
        <v>41.9</v>
      </c>
      <c r="D23">
        <v>32.58</v>
      </c>
      <c r="E23">
        <v>38.700000000000003</v>
      </c>
      <c r="F23">
        <v>32.47</v>
      </c>
      <c r="G23">
        <v>36.590000000000003</v>
      </c>
      <c r="H23">
        <v>47.26</v>
      </c>
      <c r="I23">
        <v>61.12</v>
      </c>
      <c r="J23">
        <v>57.51</v>
      </c>
    </row>
    <row r="24" spans="1:11" s="6" customFormat="1" x14ac:dyDescent="0.3">
      <c r="A24" s="4" t="s">
        <v>71</v>
      </c>
      <c r="B24">
        <v>-27.84</v>
      </c>
      <c r="C24">
        <v>12.28</v>
      </c>
      <c r="D24">
        <v>8.74</v>
      </c>
      <c r="E24">
        <v>17.53</v>
      </c>
      <c r="F24">
        <v>39.299999999999997</v>
      </c>
      <c r="G24">
        <v>163.27000000000001</v>
      </c>
      <c r="H24">
        <v>45.25</v>
      </c>
      <c r="I24">
        <v>44.04</v>
      </c>
      <c r="J24">
        <v>55.6</v>
      </c>
      <c r="K24">
        <v>1064.3</v>
      </c>
    </row>
    <row r="25" spans="1:11" s="6" customFormat="1" x14ac:dyDescent="0.3">
      <c r="A25" s="6" t="s">
        <v>9</v>
      </c>
      <c r="B25">
        <v>29.57</v>
      </c>
      <c r="C25">
        <v>54.94</v>
      </c>
      <c r="D25">
        <v>74.760000000000005</v>
      </c>
      <c r="E25">
        <v>66.39</v>
      </c>
      <c r="F25">
        <v>143.99</v>
      </c>
      <c r="G25">
        <v>77.73</v>
      </c>
      <c r="H25">
        <v>97.67</v>
      </c>
      <c r="I25">
        <v>162.19</v>
      </c>
      <c r="J25">
        <v>172.18</v>
      </c>
      <c r="K25">
        <v>65.22</v>
      </c>
    </row>
    <row r="26" spans="1:11" s="6" customFormat="1" x14ac:dyDescent="0.3">
      <c r="A26" s="6" t="s">
        <v>10</v>
      </c>
      <c r="B26">
        <v>115.63</v>
      </c>
      <c r="C26">
        <v>193.6</v>
      </c>
      <c r="D26">
        <v>230.13</v>
      </c>
      <c r="E26">
        <v>254.13</v>
      </c>
      <c r="F26">
        <v>189.9</v>
      </c>
      <c r="G26">
        <v>164.92</v>
      </c>
      <c r="H26">
        <v>180.7</v>
      </c>
      <c r="I26">
        <v>156.83000000000001</v>
      </c>
      <c r="J26">
        <v>314.22000000000003</v>
      </c>
      <c r="K26">
        <v>59.46</v>
      </c>
    </row>
    <row r="27" spans="1:11" s="6" customFormat="1" x14ac:dyDescent="0.3">
      <c r="A27" s="6" t="s">
        <v>11</v>
      </c>
      <c r="B27">
        <v>72.67</v>
      </c>
      <c r="C27">
        <v>82.5</v>
      </c>
      <c r="D27">
        <v>89.84</v>
      </c>
      <c r="E27">
        <v>110.78</v>
      </c>
      <c r="F27">
        <v>133.21</v>
      </c>
      <c r="G27">
        <v>151.13999999999999</v>
      </c>
      <c r="H27">
        <v>153.4</v>
      </c>
      <c r="I27">
        <v>105.89</v>
      </c>
      <c r="J27">
        <v>208.01</v>
      </c>
      <c r="K27">
        <v>211.73</v>
      </c>
    </row>
    <row r="28" spans="1:11" s="6" customFormat="1" x14ac:dyDescent="0.3">
      <c r="A28" s="6" t="s">
        <v>12</v>
      </c>
      <c r="B28">
        <v>105.73</v>
      </c>
      <c r="C28">
        <v>228.23</v>
      </c>
      <c r="D28">
        <v>292.36</v>
      </c>
      <c r="E28">
        <v>324.47000000000003</v>
      </c>
      <c r="F28">
        <v>519.79</v>
      </c>
      <c r="G28">
        <v>563.38</v>
      </c>
      <c r="H28">
        <v>681.25</v>
      </c>
      <c r="I28">
        <v>948.46</v>
      </c>
      <c r="J28">
        <v>1259.58</v>
      </c>
      <c r="K28">
        <v>505.38</v>
      </c>
    </row>
    <row r="29" spans="1:11" s="6" customFormat="1" x14ac:dyDescent="0.3">
      <c r="A29" s="6" t="s">
        <v>13</v>
      </c>
      <c r="B29">
        <v>6.99</v>
      </c>
      <c r="C29">
        <v>-0.73</v>
      </c>
      <c r="D29">
        <v>27.47</v>
      </c>
      <c r="E29">
        <v>68.53</v>
      </c>
      <c r="F29">
        <v>136.96</v>
      </c>
      <c r="G29">
        <v>196.99</v>
      </c>
      <c r="H29">
        <v>241.84</v>
      </c>
      <c r="I29">
        <v>196.17</v>
      </c>
      <c r="J29">
        <v>257.70999999999998</v>
      </c>
      <c r="K29">
        <v>85.95</v>
      </c>
    </row>
    <row r="30" spans="1:11" s="6" customFormat="1" x14ac:dyDescent="0.3">
      <c r="A30" s="6" t="s">
        <v>14</v>
      </c>
      <c r="B30">
        <v>114.9</v>
      </c>
      <c r="C30">
        <v>243.48</v>
      </c>
      <c r="D30">
        <v>270.51</v>
      </c>
      <c r="E30">
        <v>265.51</v>
      </c>
      <c r="F30">
        <v>407.38</v>
      </c>
      <c r="G30">
        <v>381.84</v>
      </c>
      <c r="H30">
        <v>458.01</v>
      </c>
      <c r="I30">
        <v>777.4</v>
      </c>
      <c r="J30">
        <v>1001.87</v>
      </c>
      <c r="K30">
        <v>437.08</v>
      </c>
    </row>
    <row r="31" spans="1:11" s="6" customFormat="1" x14ac:dyDescent="0.3">
      <c r="A31" s="6" t="s">
        <v>55</v>
      </c>
      <c r="B31">
        <v>7.03</v>
      </c>
      <c r="C31">
        <v>5.62</v>
      </c>
      <c r="D31">
        <v>5.62</v>
      </c>
      <c r="E31">
        <v>7.03</v>
      </c>
      <c r="F31">
        <v>7.03</v>
      </c>
      <c r="G31">
        <v>7.03</v>
      </c>
      <c r="H31">
        <v>7.03</v>
      </c>
      <c r="I31">
        <v>7.03</v>
      </c>
      <c r="J31">
        <v>7.03</v>
      </c>
      <c r="K31">
        <v>7.03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38</v>
      </c>
    </row>
    <row r="41" spans="1:11" s="15" customFormat="1" x14ac:dyDescent="0.3">
      <c r="A41" s="14" t="s">
        <v>37</v>
      </c>
      <c r="B41" s="11">
        <v>45291</v>
      </c>
      <c r="C41" s="11">
        <v>45382</v>
      </c>
      <c r="D41" s="11">
        <v>45473</v>
      </c>
      <c r="E41" s="11">
        <v>45565</v>
      </c>
      <c r="F41" s="11">
        <v>45657</v>
      </c>
      <c r="G41" s="11">
        <v>45747</v>
      </c>
      <c r="H41" s="11">
        <v>45838</v>
      </c>
      <c r="I41" s="11">
        <v>45930</v>
      </c>
      <c r="J41" s="11">
        <v>46022</v>
      </c>
      <c r="K41" s="11">
        <v>46112</v>
      </c>
    </row>
    <row r="42" spans="1:11" s="6" customFormat="1" x14ac:dyDescent="0.3">
      <c r="A42" s="6" t="s">
        <v>6</v>
      </c>
      <c r="B42">
        <v>996.01</v>
      </c>
      <c r="C42">
        <v>1414</v>
      </c>
      <c r="D42">
        <v>985</v>
      </c>
      <c r="E42">
        <v>1944.86</v>
      </c>
      <c r="F42">
        <v>848.1</v>
      </c>
      <c r="G42">
        <v>975.21</v>
      </c>
      <c r="H42">
        <v>612.72</v>
      </c>
      <c r="I42">
        <v>646.5</v>
      </c>
      <c r="J42">
        <v>743.2</v>
      </c>
      <c r="K42">
        <v>695.59</v>
      </c>
    </row>
    <row r="43" spans="1:11" s="6" customFormat="1" x14ac:dyDescent="0.3">
      <c r="A43" s="6" t="s">
        <v>7</v>
      </c>
      <c r="B43">
        <v>770.1</v>
      </c>
      <c r="C43">
        <v>1039.48</v>
      </c>
      <c r="D43">
        <v>706.4</v>
      </c>
      <c r="E43">
        <v>1075.18</v>
      </c>
      <c r="F43">
        <v>592.52</v>
      </c>
      <c r="G43">
        <v>753.72</v>
      </c>
      <c r="H43">
        <v>429.77</v>
      </c>
      <c r="I43">
        <v>453.94</v>
      </c>
      <c r="J43">
        <v>576.49</v>
      </c>
      <c r="K43">
        <v>526.46</v>
      </c>
    </row>
    <row r="44" spans="1:11" s="6" customFormat="1" x14ac:dyDescent="0.3">
      <c r="A44" s="6" t="s">
        <v>9</v>
      </c>
      <c r="B44">
        <v>6.52</v>
      </c>
      <c r="C44">
        <v>125.25</v>
      </c>
      <c r="D44">
        <v>20.9</v>
      </c>
      <c r="E44">
        <v>132.19</v>
      </c>
      <c r="F44">
        <v>122.3</v>
      </c>
      <c r="G44">
        <v>-100.32</v>
      </c>
      <c r="H44">
        <v>25.24</v>
      </c>
      <c r="I44">
        <v>7.48</v>
      </c>
      <c r="J44">
        <v>13.55</v>
      </c>
      <c r="K44">
        <v>18.96</v>
      </c>
    </row>
    <row r="45" spans="1:11" s="6" customFormat="1" x14ac:dyDescent="0.3">
      <c r="A45" s="6" t="s">
        <v>10</v>
      </c>
      <c r="B45">
        <v>40.68</v>
      </c>
      <c r="C45">
        <v>40.54</v>
      </c>
      <c r="D45">
        <v>30.07</v>
      </c>
      <c r="E45">
        <v>237.93</v>
      </c>
      <c r="F45">
        <v>23.36</v>
      </c>
      <c r="G45">
        <v>22.86</v>
      </c>
      <c r="H45">
        <v>15.42</v>
      </c>
      <c r="I45">
        <v>15.09</v>
      </c>
      <c r="J45">
        <v>15.01</v>
      </c>
      <c r="K45">
        <v>13.94</v>
      </c>
    </row>
    <row r="46" spans="1:11" s="6" customFormat="1" x14ac:dyDescent="0.3">
      <c r="A46" s="6" t="s">
        <v>11</v>
      </c>
      <c r="B46">
        <v>27.66</v>
      </c>
      <c r="C46">
        <v>37.07</v>
      </c>
      <c r="D46">
        <v>37.130000000000003</v>
      </c>
      <c r="E46">
        <v>88.74</v>
      </c>
      <c r="F46">
        <v>41.43</v>
      </c>
      <c r="G46">
        <v>40.58</v>
      </c>
      <c r="H46">
        <v>48.35</v>
      </c>
      <c r="I46">
        <v>52.73</v>
      </c>
      <c r="J46">
        <v>54.85</v>
      </c>
      <c r="K46">
        <v>55.8</v>
      </c>
    </row>
    <row r="47" spans="1:11" s="6" customFormat="1" x14ac:dyDescent="0.3">
      <c r="A47" s="6" t="s">
        <v>12</v>
      </c>
      <c r="B47">
        <v>164.09</v>
      </c>
      <c r="C47">
        <v>422.16</v>
      </c>
      <c r="D47">
        <v>232.3</v>
      </c>
      <c r="E47">
        <v>675.2</v>
      </c>
      <c r="F47">
        <v>313.08999999999997</v>
      </c>
      <c r="G47">
        <v>57.73</v>
      </c>
      <c r="H47">
        <v>144.41999999999999</v>
      </c>
      <c r="I47">
        <v>132.22</v>
      </c>
      <c r="J47">
        <v>110.4</v>
      </c>
      <c r="K47">
        <v>118.35</v>
      </c>
    </row>
    <row r="48" spans="1:11" s="6" customFormat="1" x14ac:dyDescent="0.3">
      <c r="A48" s="6" t="s">
        <v>13</v>
      </c>
      <c r="B48">
        <v>28.26</v>
      </c>
      <c r="C48">
        <v>94.65</v>
      </c>
      <c r="D48">
        <v>54.64</v>
      </c>
      <c r="E48">
        <v>90.14</v>
      </c>
      <c r="F48">
        <v>62.52</v>
      </c>
      <c r="G48">
        <v>50.42</v>
      </c>
      <c r="H48">
        <v>23.25</v>
      </c>
      <c r="I48">
        <v>29.37</v>
      </c>
      <c r="J48">
        <v>8.6</v>
      </c>
      <c r="K48">
        <v>24.72</v>
      </c>
    </row>
    <row r="49" spans="1:11" s="6" customFormat="1" x14ac:dyDescent="0.3">
      <c r="A49" s="6" t="s">
        <v>14</v>
      </c>
      <c r="B49">
        <v>139.61000000000001</v>
      </c>
      <c r="C49">
        <v>353.3</v>
      </c>
      <c r="D49">
        <v>172.58</v>
      </c>
      <c r="E49">
        <v>441.47</v>
      </c>
      <c r="F49">
        <v>248.59</v>
      </c>
      <c r="G49">
        <v>139.24</v>
      </c>
      <c r="H49">
        <v>123.41</v>
      </c>
      <c r="I49">
        <v>104.66</v>
      </c>
      <c r="J49">
        <v>102.8</v>
      </c>
      <c r="K49">
        <v>106.21</v>
      </c>
    </row>
    <row r="50" spans="1:11" x14ac:dyDescent="0.3">
      <c r="A50" s="6" t="s">
        <v>8</v>
      </c>
      <c r="B50">
        <v>225.91</v>
      </c>
      <c r="C50">
        <v>374.52</v>
      </c>
      <c r="D50">
        <v>278.60000000000002</v>
      </c>
      <c r="E50">
        <v>869.68</v>
      </c>
      <c r="F50">
        <v>255.58</v>
      </c>
      <c r="G50">
        <v>221.49</v>
      </c>
      <c r="H50">
        <v>182.95</v>
      </c>
      <c r="I50">
        <v>192.56</v>
      </c>
      <c r="J50">
        <v>166.71</v>
      </c>
      <c r="K50">
        <v>169.13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39</v>
      </c>
    </row>
    <row r="56" spans="1:11" s="15" customFormat="1" x14ac:dyDescent="0.3">
      <c r="A56" s="14" t="s">
        <v>37</v>
      </c>
      <c r="B56" s="11">
        <v>42825</v>
      </c>
      <c r="C56" s="11">
        <v>43190</v>
      </c>
      <c r="D56" s="11">
        <v>43555</v>
      </c>
      <c r="E56" s="11">
        <v>43921</v>
      </c>
      <c r="F56" s="11">
        <v>44286</v>
      </c>
      <c r="G56" s="11">
        <v>44651</v>
      </c>
      <c r="H56" s="11">
        <v>45016</v>
      </c>
      <c r="I56" s="11">
        <v>45382</v>
      </c>
      <c r="J56" s="11">
        <v>45747</v>
      </c>
      <c r="K56" s="11">
        <v>46112</v>
      </c>
    </row>
    <row r="57" spans="1:11" x14ac:dyDescent="0.3">
      <c r="A57" s="6" t="s">
        <v>24</v>
      </c>
      <c r="B57">
        <v>28.12</v>
      </c>
      <c r="C57">
        <v>28.12</v>
      </c>
      <c r="D57">
        <v>28.12</v>
      </c>
      <c r="E57">
        <v>28.12</v>
      </c>
      <c r="F57">
        <v>56.25</v>
      </c>
      <c r="G57">
        <v>56.25</v>
      </c>
      <c r="H57">
        <v>56.25</v>
      </c>
      <c r="I57">
        <v>56.25</v>
      </c>
      <c r="J57">
        <v>56.25</v>
      </c>
      <c r="K57">
        <v>56.25</v>
      </c>
    </row>
    <row r="58" spans="1:11" x14ac:dyDescent="0.3">
      <c r="A58" s="6" t="s">
        <v>25</v>
      </c>
      <c r="B58">
        <v>785.8</v>
      </c>
      <c r="C58">
        <v>1019.64</v>
      </c>
      <c r="D58">
        <v>1282.7</v>
      </c>
      <c r="E58">
        <v>1532.54</v>
      </c>
      <c r="F58">
        <v>1911.57</v>
      </c>
      <c r="G58">
        <v>2271.46</v>
      </c>
      <c r="H58">
        <v>2722.95</v>
      </c>
      <c r="I58">
        <v>3497.9</v>
      </c>
      <c r="J58">
        <v>4484.93</v>
      </c>
      <c r="K58">
        <v>4915.74</v>
      </c>
    </row>
    <row r="59" spans="1:11" x14ac:dyDescent="0.3">
      <c r="A59" s="6" t="s">
        <v>56</v>
      </c>
      <c r="B59">
        <v>721.14</v>
      </c>
      <c r="C59">
        <v>770.4</v>
      </c>
      <c r="D59">
        <v>758.21</v>
      </c>
      <c r="E59">
        <v>874.54</v>
      </c>
      <c r="F59">
        <v>764.37</v>
      </c>
      <c r="G59">
        <v>1463.54</v>
      </c>
      <c r="H59">
        <v>652.05999999999995</v>
      </c>
      <c r="I59">
        <v>1262.44</v>
      </c>
      <c r="J59">
        <v>1849.47</v>
      </c>
      <c r="K59">
        <v>2444.25</v>
      </c>
    </row>
    <row r="60" spans="1:11" x14ac:dyDescent="0.3">
      <c r="A60" s="6" t="s">
        <v>57</v>
      </c>
      <c r="B60">
        <v>707.13</v>
      </c>
      <c r="C60">
        <v>789.82</v>
      </c>
      <c r="D60">
        <v>660.03</v>
      </c>
      <c r="E60">
        <v>1068.1400000000001</v>
      </c>
      <c r="F60">
        <v>1274.99</v>
      </c>
      <c r="G60">
        <v>1479.08</v>
      </c>
      <c r="H60">
        <v>910.75</v>
      </c>
      <c r="I60">
        <v>987.2</v>
      </c>
      <c r="J60">
        <v>740.71</v>
      </c>
      <c r="K60">
        <v>705.31</v>
      </c>
    </row>
    <row r="61" spans="1:11" s="1" customFormat="1" x14ac:dyDescent="0.3">
      <c r="A61" s="1" t="s">
        <v>26</v>
      </c>
      <c r="B61">
        <v>2242.19</v>
      </c>
      <c r="C61">
        <v>2607.98</v>
      </c>
      <c r="D61">
        <v>2729.06</v>
      </c>
      <c r="E61">
        <v>3503.34</v>
      </c>
      <c r="F61">
        <v>4007.18</v>
      </c>
      <c r="G61">
        <v>5270.33</v>
      </c>
      <c r="H61">
        <v>4342.01</v>
      </c>
      <c r="I61">
        <v>5803.79</v>
      </c>
      <c r="J61">
        <v>7131.36</v>
      </c>
      <c r="K61">
        <v>8121.55</v>
      </c>
    </row>
    <row r="62" spans="1:11" x14ac:dyDescent="0.3">
      <c r="A62" s="6" t="s">
        <v>27</v>
      </c>
      <c r="B62">
        <v>1228.44</v>
      </c>
      <c r="C62">
        <v>1341.35</v>
      </c>
      <c r="D62">
        <v>1320.52</v>
      </c>
      <c r="E62">
        <v>1274.82</v>
      </c>
      <c r="F62">
        <v>776</v>
      </c>
      <c r="G62">
        <v>889.9</v>
      </c>
      <c r="H62">
        <v>890.49</v>
      </c>
      <c r="I62">
        <v>806.36</v>
      </c>
      <c r="J62">
        <v>482.46</v>
      </c>
      <c r="K62">
        <v>428.92</v>
      </c>
    </row>
    <row r="63" spans="1:11" x14ac:dyDescent="0.3">
      <c r="A63" s="6" t="s">
        <v>28</v>
      </c>
      <c r="B63">
        <v>91.26</v>
      </c>
      <c r="C63">
        <v>1.1499999999999999</v>
      </c>
      <c r="D63">
        <v>0.01</v>
      </c>
      <c r="E63">
        <v>10.15</v>
      </c>
      <c r="F63">
        <v>2.38</v>
      </c>
      <c r="G63">
        <v>20.62</v>
      </c>
      <c r="H63">
        <v>2.5099999999999998</v>
      </c>
      <c r="I63">
        <v>2.1800000000000002</v>
      </c>
      <c r="J63">
        <v>0.41</v>
      </c>
      <c r="K63">
        <v>0.12</v>
      </c>
    </row>
    <row r="64" spans="1:11" x14ac:dyDescent="0.3">
      <c r="A64" s="6" t="s">
        <v>29</v>
      </c>
      <c r="B64">
        <v>73.59</v>
      </c>
      <c r="C64">
        <v>52.67</v>
      </c>
      <c r="D64">
        <v>51.93</v>
      </c>
      <c r="E64">
        <v>65.84</v>
      </c>
      <c r="F64">
        <v>61.67</v>
      </c>
      <c r="G64">
        <v>73.260000000000005</v>
      </c>
      <c r="H64">
        <v>72.349999999999994</v>
      </c>
      <c r="I64">
        <v>115.19</v>
      </c>
      <c r="J64">
        <v>115.82</v>
      </c>
      <c r="K64">
        <v>319.44</v>
      </c>
    </row>
    <row r="65" spans="1:11" x14ac:dyDescent="0.3">
      <c r="A65" s="6" t="s">
        <v>58</v>
      </c>
      <c r="B65">
        <v>848.9</v>
      </c>
      <c r="C65">
        <v>1212.81</v>
      </c>
      <c r="D65">
        <v>1356.6</v>
      </c>
      <c r="E65">
        <v>2152.5300000000002</v>
      </c>
      <c r="F65">
        <v>3167.13</v>
      </c>
      <c r="G65">
        <v>4286.55</v>
      </c>
      <c r="H65">
        <v>3376.66</v>
      </c>
      <c r="I65">
        <v>4880.0600000000004</v>
      </c>
      <c r="J65">
        <v>6532.67</v>
      </c>
      <c r="K65">
        <v>7373.07</v>
      </c>
    </row>
    <row r="66" spans="1:11" s="1" customFormat="1" x14ac:dyDescent="0.3">
      <c r="A66" s="1" t="s">
        <v>26</v>
      </c>
      <c r="B66">
        <v>2242.19</v>
      </c>
      <c r="C66">
        <v>2607.98</v>
      </c>
      <c r="D66">
        <v>2729.06</v>
      </c>
      <c r="E66">
        <v>3503.34</v>
      </c>
      <c r="F66">
        <v>4007.18</v>
      </c>
      <c r="G66">
        <v>5270.33</v>
      </c>
      <c r="H66">
        <v>4342.01</v>
      </c>
      <c r="I66">
        <v>5803.79</v>
      </c>
      <c r="J66">
        <v>7131.36</v>
      </c>
      <c r="K66">
        <v>8121.55</v>
      </c>
    </row>
    <row r="67" spans="1:11" s="6" customFormat="1" x14ac:dyDescent="0.3">
      <c r="A67" s="6" t="s">
        <v>63</v>
      </c>
      <c r="B67">
        <v>181.69</v>
      </c>
      <c r="C67">
        <v>269.14</v>
      </c>
      <c r="D67">
        <v>96.8</v>
      </c>
      <c r="E67">
        <v>174.65</v>
      </c>
      <c r="F67">
        <v>332.87</v>
      </c>
      <c r="G67">
        <v>598.41</v>
      </c>
      <c r="H67">
        <v>622.9</v>
      </c>
      <c r="I67">
        <v>673.98</v>
      </c>
      <c r="J67">
        <v>921.12</v>
      </c>
      <c r="K67">
        <v>808.36</v>
      </c>
    </row>
    <row r="68" spans="1:11" x14ac:dyDescent="0.3">
      <c r="A68" s="6" t="s">
        <v>43</v>
      </c>
      <c r="B68">
        <v>80.540000000000006</v>
      </c>
      <c r="C68">
        <v>75.05</v>
      </c>
      <c r="D68">
        <v>101.19</v>
      </c>
      <c r="E68">
        <v>123.16</v>
      </c>
      <c r="F68">
        <v>147.99</v>
      </c>
      <c r="G68">
        <v>227.41</v>
      </c>
      <c r="H68">
        <v>234.23</v>
      </c>
      <c r="I68">
        <v>220.87</v>
      </c>
      <c r="J68">
        <v>160.41</v>
      </c>
      <c r="K68">
        <v>132.81</v>
      </c>
    </row>
    <row r="69" spans="1:11" x14ac:dyDescent="0.3">
      <c r="A69" s="4" t="s">
        <v>72</v>
      </c>
      <c r="B69">
        <v>33.81</v>
      </c>
      <c r="C69">
        <v>51.98</v>
      </c>
      <c r="D69">
        <v>27.47</v>
      </c>
      <c r="E69">
        <v>82.87</v>
      </c>
      <c r="F69">
        <v>147.84</v>
      </c>
      <c r="G69">
        <v>259.2</v>
      </c>
      <c r="H69">
        <v>220.2</v>
      </c>
      <c r="I69">
        <v>410.89</v>
      </c>
      <c r="J69">
        <v>322.52</v>
      </c>
      <c r="K69">
        <v>377.29</v>
      </c>
    </row>
    <row r="70" spans="1:11" x14ac:dyDescent="0.3">
      <c r="A70" s="4" t="s">
        <v>59</v>
      </c>
      <c r="B70">
        <v>140617300</v>
      </c>
      <c r="C70">
        <v>140617300</v>
      </c>
      <c r="D70">
        <v>140617300</v>
      </c>
      <c r="E70">
        <v>140617300</v>
      </c>
      <c r="F70">
        <v>281234600</v>
      </c>
      <c r="G70">
        <v>281234600</v>
      </c>
      <c r="H70">
        <v>281234600</v>
      </c>
      <c r="I70">
        <v>281234600</v>
      </c>
      <c r="J70">
        <v>281234600</v>
      </c>
    </row>
    <row r="71" spans="1:11" x14ac:dyDescent="0.3">
      <c r="A71" s="4" t="s">
        <v>60</v>
      </c>
    </row>
    <row r="72" spans="1:11" x14ac:dyDescent="0.3">
      <c r="A72" s="4" t="s">
        <v>73</v>
      </c>
      <c r="B72">
        <v>2</v>
      </c>
      <c r="C72">
        <v>2</v>
      </c>
      <c r="D72">
        <v>2</v>
      </c>
      <c r="E72">
        <v>2</v>
      </c>
      <c r="F72">
        <v>2</v>
      </c>
      <c r="G72">
        <v>10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40</v>
      </c>
    </row>
    <row r="81" spans="1:11" s="15" customFormat="1" x14ac:dyDescent="0.3">
      <c r="A81" s="14" t="s">
        <v>37</v>
      </c>
      <c r="B81" s="11">
        <v>42825</v>
      </c>
      <c r="C81" s="11">
        <v>43190</v>
      </c>
      <c r="D81" s="11">
        <v>43555</v>
      </c>
      <c r="E81" s="11">
        <v>43921</v>
      </c>
      <c r="F81" s="11">
        <v>44286</v>
      </c>
      <c r="G81" s="11">
        <v>44651</v>
      </c>
      <c r="H81" s="11">
        <v>45016</v>
      </c>
      <c r="I81" s="11">
        <v>45382</v>
      </c>
      <c r="J81" s="11">
        <v>45747</v>
      </c>
      <c r="K81" s="11">
        <v>46112</v>
      </c>
    </row>
    <row r="82" spans="1:11" s="1" customFormat="1" x14ac:dyDescent="0.3">
      <c r="A82" s="6" t="s">
        <v>31</v>
      </c>
      <c r="B82">
        <v>365.67</v>
      </c>
      <c r="C82">
        <v>220.57</v>
      </c>
      <c r="D82">
        <v>255.91</v>
      </c>
      <c r="E82">
        <v>230.62</v>
      </c>
      <c r="F82">
        <v>-75.59</v>
      </c>
      <c r="G82">
        <v>-336.44</v>
      </c>
      <c r="H82">
        <v>1194.1300000000001</v>
      </c>
      <c r="I82">
        <v>-297.12</v>
      </c>
      <c r="J82">
        <v>-566.58000000000004</v>
      </c>
      <c r="K82">
        <v>-149.05000000000001</v>
      </c>
    </row>
    <row r="83" spans="1:11" s="6" customFormat="1" x14ac:dyDescent="0.3">
      <c r="A83" s="6" t="s">
        <v>32</v>
      </c>
      <c r="B83">
        <v>-249.63</v>
      </c>
      <c r="C83">
        <v>-163.28</v>
      </c>
      <c r="D83">
        <v>-183.5</v>
      </c>
      <c r="E83">
        <v>-202.09</v>
      </c>
      <c r="F83">
        <v>260.19</v>
      </c>
      <c r="G83">
        <v>-408.48</v>
      </c>
      <c r="H83">
        <v>66.81</v>
      </c>
      <c r="I83">
        <v>-33.6</v>
      </c>
      <c r="J83">
        <v>-166.56</v>
      </c>
      <c r="K83">
        <v>-139.09</v>
      </c>
    </row>
    <row r="84" spans="1:11" s="6" customFormat="1" x14ac:dyDescent="0.3">
      <c r="A84" s="6" t="s">
        <v>33</v>
      </c>
      <c r="B84">
        <v>-123.61</v>
      </c>
      <c r="C84">
        <v>-37.53</v>
      </c>
      <c r="D84">
        <v>-107.5</v>
      </c>
      <c r="E84">
        <v>2.2200000000000002</v>
      </c>
      <c r="F84">
        <v>-97.83</v>
      </c>
      <c r="G84">
        <v>764.87</v>
      </c>
      <c r="H84">
        <v>-1217.3499999999999</v>
      </c>
      <c r="I84">
        <v>496.13</v>
      </c>
      <c r="J84">
        <v>480.09</v>
      </c>
      <c r="K84">
        <v>371.23</v>
      </c>
    </row>
    <row r="85" spans="1:11" s="1" customFormat="1" x14ac:dyDescent="0.3">
      <c r="A85" s="6" t="s">
        <v>34</v>
      </c>
      <c r="B85">
        <v>-7.57</v>
      </c>
      <c r="C85">
        <v>19.760000000000002</v>
      </c>
      <c r="D85">
        <v>-35.090000000000003</v>
      </c>
      <c r="E85">
        <v>30.75</v>
      </c>
      <c r="F85">
        <v>86.77</v>
      </c>
      <c r="G85">
        <v>19.940000000000001</v>
      </c>
      <c r="H85">
        <v>43.6</v>
      </c>
      <c r="I85">
        <v>165.4</v>
      </c>
      <c r="J85">
        <v>-253.05</v>
      </c>
      <c r="K85">
        <v>83.1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62</v>
      </c>
      <c r="B90">
        <v>96.38</v>
      </c>
      <c r="C90">
        <v>142</v>
      </c>
      <c r="D90">
        <v>130.68</v>
      </c>
      <c r="E90">
        <v>98.25</v>
      </c>
      <c r="F90">
        <v>213.4</v>
      </c>
      <c r="G90">
        <v>284.14999999999998</v>
      </c>
      <c r="H90">
        <v>253.7</v>
      </c>
      <c r="I90">
        <v>246.3</v>
      </c>
      <c r="J90">
        <v>228.13</v>
      </c>
      <c r="K90">
        <v>113.04</v>
      </c>
    </row>
    <row r="92" spans="1:11" s="1" customFormat="1" x14ac:dyDescent="0.3">
      <c r="A92" s="1" t="s">
        <v>61</v>
      </c>
    </row>
    <row r="93" spans="1:11" x14ac:dyDescent="0.3">
      <c r="A93" s="4" t="s">
        <v>74</v>
      </c>
      <c r="B93" s="16">
        <v>28.12</v>
      </c>
      <c r="C93" s="16">
        <v>28.12</v>
      </c>
      <c r="D93" s="16">
        <v>28.12</v>
      </c>
      <c r="E93" s="16">
        <v>28.12</v>
      </c>
      <c r="F93" s="16">
        <v>28.12</v>
      </c>
      <c r="G93" s="16">
        <v>28.12</v>
      </c>
      <c r="H93" s="16">
        <v>28.12</v>
      </c>
      <c r="I93" s="16">
        <v>28.12</v>
      </c>
      <c r="J93" s="16">
        <v>28.12</v>
      </c>
      <c r="K93" s="16">
        <v>28.12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B22F-B23A-45AF-AD35-73AA665DE67A}">
  <dimension ref="B1:O27"/>
  <sheetViews>
    <sheetView showGridLines="0" zoomScale="85" zoomScaleNormal="85" workbookViewId="0">
      <selection activeCell="B2" sqref="B2:E2"/>
    </sheetView>
  </sheetViews>
  <sheetFormatPr defaultRowHeight="14.4" x14ac:dyDescent="0.3"/>
  <cols>
    <col min="1" max="1" width="1.88671875" customWidth="1"/>
    <col min="2" max="2" width="11.33203125" bestFit="1" customWidth="1"/>
    <col min="3" max="3" width="9.109375" customWidth="1"/>
    <col min="4" max="4" width="11.77734375" customWidth="1"/>
    <col min="5" max="6" width="9.77734375" bestFit="1" customWidth="1"/>
    <col min="7" max="7" width="17.44140625" bestFit="1" customWidth="1"/>
    <col min="8" max="8" width="12" bestFit="1" customWidth="1"/>
    <col min="9" max="9" width="13.44140625" bestFit="1" customWidth="1"/>
    <col min="10" max="11" width="12" bestFit="1" customWidth="1"/>
    <col min="12" max="12" width="12.44140625" bestFit="1" customWidth="1"/>
    <col min="13" max="13" width="12" bestFit="1" customWidth="1"/>
    <col min="14" max="15" width="12.109375" bestFit="1" customWidth="1"/>
  </cols>
  <sheetData>
    <row r="1" spans="2:14" x14ac:dyDescent="0.3">
      <c r="B1" s="77" t="s">
        <v>183</v>
      </c>
      <c r="C1" s="77"/>
      <c r="D1" s="77"/>
      <c r="E1" s="77"/>
    </row>
    <row r="2" spans="2:14" x14ac:dyDescent="0.3">
      <c r="B2" s="56" t="s">
        <v>181</v>
      </c>
      <c r="C2" s="57" t="s">
        <v>182</v>
      </c>
      <c r="D2" s="57" t="s">
        <v>6</v>
      </c>
      <c r="E2" s="57" t="s">
        <v>22</v>
      </c>
      <c r="F2" s="29"/>
      <c r="G2" s="29"/>
      <c r="H2" s="29"/>
      <c r="I2" s="29"/>
      <c r="J2" s="29"/>
      <c r="K2" s="29"/>
      <c r="L2" s="29"/>
      <c r="M2" s="29"/>
      <c r="N2" s="29"/>
    </row>
    <row r="3" spans="2:14" x14ac:dyDescent="0.3">
      <c r="B3" s="58">
        <v>1</v>
      </c>
      <c r="C3" s="59">
        <v>2015</v>
      </c>
      <c r="D3" s="66">
        <v>263159</v>
      </c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2:14" x14ac:dyDescent="0.3">
      <c r="B4" s="58">
        <f>B3+1</f>
        <v>2</v>
      </c>
      <c r="C4" s="59">
        <f t="shared" ref="C4:C14" si="0">C3+1</f>
        <v>2016</v>
      </c>
      <c r="D4" s="66">
        <v>273046</v>
      </c>
      <c r="E4" s="26">
        <f>D4/D3-1</f>
        <v>3.757044220414274E-2</v>
      </c>
    </row>
    <row r="5" spans="2:14" x14ac:dyDescent="0.3">
      <c r="B5" s="58">
        <f t="shared" ref="B5:B14" si="1">B4+1</f>
        <v>3</v>
      </c>
      <c r="C5" s="59">
        <f t="shared" si="0"/>
        <v>2017</v>
      </c>
      <c r="D5" s="66">
        <v>269693</v>
      </c>
      <c r="E5" s="26">
        <f t="shared" ref="E5:E19" si="2">D5/D4-1</f>
        <v>-1.2279982127553546E-2</v>
      </c>
    </row>
    <row r="6" spans="2:14" x14ac:dyDescent="0.3">
      <c r="B6" s="58">
        <f t="shared" si="1"/>
        <v>4</v>
      </c>
      <c r="C6" s="59">
        <f t="shared" si="0"/>
        <v>2018</v>
      </c>
      <c r="D6" s="66">
        <v>291550</v>
      </c>
      <c r="E6" s="26">
        <f t="shared" si="2"/>
        <v>8.1044001883623151E-2</v>
      </c>
    </row>
    <row r="7" spans="2:14" x14ac:dyDescent="0.3">
      <c r="B7" s="58">
        <f t="shared" si="1"/>
        <v>5</v>
      </c>
      <c r="C7" s="59">
        <f t="shared" si="0"/>
        <v>2019</v>
      </c>
      <c r="D7" s="66">
        <v>301938</v>
      </c>
      <c r="E7" s="26">
        <f t="shared" si="2"/>
        <v>3.5630252100840254E-2</v>
      </c>
      <c r="F7" t="s">
        <v>208</v>
      </c>
    </row>
    <row r="8" spans="2:14" x14ac:dyDescent="0.3">
      <c r="B8" s="58">
        <f t="shared" si="1"/>
        <v>6</v>
      </c>
      <c r="C8" s="59">
        <f t="shared" si="0"/>
        <v>2020</v>
      </c>
      <c r="D8" s="66">
        <v>261068</v>
      </c>
      <c r="E8" s="26">
        <f t="shared" si="2"/>
        <v>-0.13535891474408657</v>
      </c>
    </row>
    <row r="9" spans="2:14" x14ac:dyDescent="0.3">
      <c r="B9" s="58">
        <f t="shared" si="1"/>
        <v>7</v>
      </c>
      <c r="C9" s="59">
        <f t="shared" si="0"/>
        <v>2021</v>
      </c>
      <c r="D9" s="66">
        <v>249795</v>
      </c>
      <c r="E9" s="26">
        <f t="shared" si="2"/>
        <v>-4.3180320835950803E-2</v>
      </c>
    </row>
    <row r="10" spans="2:14" x14ac:dyDescent="0.3">
      <c r="B10" s="58">
        <f t="shared" si="1"/>
        <v>8</v>
      </c>
      <c r="C10" s="59">
        <f t="shared" si="0"/>
        <v>2022</v>
      </c>
      <c r="D10" s="66">
        <v>278454</v>
      </c>
      <c r="E10" s="26">
        <f t="shared" si="2"/>
        <v>0.11473007866450491</v>
      </c>
      <c r="G10" t="s">
        <v>184</v>
      </c>
    </row>
    <row r="11" spans="2:14" ht="15" thickBot="1" x14ac:dyDescent="0.35">
      <c r="B11" s="58">
        <f t="shared" si="1"/>
        <v>9</v>
      </c>
      <c r="C11" s="59">
        <f t="shared" si="0"/>
        <v>2023</v>
      </c>
      <c r="D11" s="66">
        <v>345967</v>
      </c>
      <c r="E11" s="26">
        <f t="shared" si="2"/>
        <v>0.24245656374122837</v>
      </c>
    </row>
    <row r="12" spans="2:14" x14ac:dyDescent="0.3">
      <c r="B12" s="58">
        <f t="shared" si="1"/>
        <v>10</v>
      </c>
      <c r="C12" s="59">
        <f t="shared" si="0"/>
        <v>2024</v>
      </c>
      <c r="D12" s="66">
        <v>434016</v>
      </c>
      <c r="E12" s="26">
        <f t="shared" si="2"/>
        <v>0.25450115184396194</v>
      </c>
      <c r="G12" s="63" t="s">
        <v>185</v>
      </c>
      <c r="H12" s="63"/>
    </row>
    <row r="13" spans="2:14" x14ac:dyDescent="0.3">
      <c r="B13" s="58">
        <f t="shared" si="1"/>
        <v>11</v>
      </c>
      <c r="C13" s="59">
        <f t="shared" si="0"/>
        <v>2025</v>
      </c>
      <c r="D13" s="66">
        <v>439695</v>
      </c>
      <c r="E13" s="26">
        <f t="shared" si="2"/>
        <v>1.3084771068347711E-2</v>
      </c>
      <c r="G13" t="s">
        <v>186</v>
      </c>
      <c r="H13">
        <v>0.7036846768611823</v>
      </c>
    </row>
    <row r="14" spans="2:14" x14ac:dyDescent="0.3">
      <c r="B14" s="58">
        <f t="shared" si="1"/>
        <v>12</v>
      </c>
      <c r="C14" s="59">
        <f t="shared" si="0"/>
        <v>2026</v>
      </c>
      <c r="D14" s="66">
        <v>335582</v>
      </c>
      <c r="E14" s="26">
        <f t="shared" si="2"/>
        <v>-0.23678458931759516</v>
      </c>
      <c r="G14" t="s">
        <v>187</v>
      </c>
      <c r="H14">
        <v>0.49517212444922659</v>
      </c>
      <c r="I14" s="64" t="s">
        <v>207</v>
      </c>
      <c r="J14" s="64"/>
      <c r="K14" s="64"/>
    </row>
    <row r="15" spans="2:14" x14ac:dyDescent="0.3">
      <c r="B15" s="58">
        <f t="shared" ref="B15:B18" si="3">B14+1</f>
        <v>13</v>
      </c>
      <c r="C15" s="60">
        <f t="shared" ref="C15:C18" si="4">C14+1</f>
        <v>2027</v>
      </c>
      <c r="D15" s="65">
        <f>FORECAST(B15,$D$3:$D$14,$B$3:$B$14)</f>
        <v>394658.62121212122</v>
      </c>
      <c r="E15" s="26">
        <f t="shared" si="2"/>
        <v>0.17604228239929798</v>
      </c>
      <c r="G15" t="s">
        <v>188</v>
      </c>
      <c r="H15">
        <v>0.44468933689414925</v>
      </c>
    </row>
    <row r="16" spans="2:14" x14ac:dyDescent="0.3">
      <c r="B16" s="58">
        <f t="shared" si="3"/>
        <v>14</v>
      </c>
      <c r="C16" s="60">
        <f t="shared" si="4"/>
        <v>2028</v>
      </c>
      <c r="D16" s="65">
        <f t="shared" ref="D16:D19" si="5">FORECAST(B16,$D$3:$D$14,$B$3:$B$14)</f>
        <v>407375.80652680655</v>
      </c>
      <c r="E16" s="26">
        <f t="shared" si="2"/>
        <v>3.2223254811023283E-2</v>
      </c>
      <c r="G16" t="s">
        <v>189</v>
      </c>
      <c r="H16">
        <v>48557.082904562776</v>
      </c>
    </row>
    <row r="17" spans="2:15" ht="15" thickBot="1" x14ac:dyDescent="0.35">
      <c r="B17" s="58">
        <f t="shared" si="3"/>
        <v>15</v>
      </c>
      <c r="C17" s="60">
        <f t="shared" si="4"/>
        <v>2029</v>
      </c>
      <c r="D17" s="65">
        <f t="shared" si="5"/>
        <v>420092.99184149189</v>
      </c>
      <c r="E17" s="26">
        <f t="shared" si="2"/>
        <v>3.1217330805943355E-2</v>
      </c>
      <c r="G17" s="61" t="s">
        <v>190</v>
      </c>
      <c r="H17" s="61">
        <v>12</v>
      </c>
    </row>
    <row r="18" spans="2:15" x14ac:dyDescent="0.3">
      <c r="B18" s="58">
        <f t="shared" si="3"/>
        <v>16</v>
      </c>
      <c r="C18" s="60">
        <f t="shared" si="4"/>
        <v>2030</v>
      </c>
      <c r="D18" s="65">
        <f t="shared" si="5"/>
        <v>432810.17715617723</v>
      </c>
      <c r="E18" s="26">
        <f t="shared" si="2"/>
        <v>3.027231008767628E-2</v>
      </c>
    </row>
    <row r="19" spans="2:15" ht="15" thickBot="1" x14ac:dyDescent="0.35">
      <c r="B19" s="58">
        <f t="shared" ref="B19" si="6">B18+1</f>
        <v>17</v>
      </c>
      <c r="C19" s="60">
        <f t="shared" ref="C19" si="7">C18+1</f>
        <v>2031</v>
      </c>
      <c r="D19" s="65">
        <f t="shared" si="5"/>
        <v>445527.36247086251</v>
      </c>
      <c r="E19" s="26">
        <f t="shared" si="2"/>
        <v>2.9382824124526863E-2</v>
      </c>
      <c r="G19" t="s">
        <v>191</v>
      </c>
    </row>
    <row r="20" spans="2:15" x14ac:dyDescent="0.3">
      <c r="G20" s="62"/>
      <c r="H20" s="62" t="s">
        <v>195</v>
      </c>
      <c r="I20" s="62" t="s">
        <v>196</v>
      </c>
      <c r="J20" s="62" t="s">
        <v>197</v>
      </c>
      <c r="K20" s="62" t="s">
        <v>198</v>
      </c>
      <c r="L20" s="62" t="s">
        <v>199</v>
      </c>
    </row>
    <row r="21" spans="2:15" x14ac:dyDescent="0.3">
      <c r="G21" t="s">
        <v>192</v>
      </c>
      <c r="H21">
        <v>1</v>
      </c>
      <c r="I21">
        <v>23126932732.910839</v>
      </c>
      <c r="J21">
        <v>23126932732.910839</v>
      </c>
      <c r="K21">
        <v>9.8087318159479153</v>
      </c>
      <c r="L21">
        <v>1.0656180340222358E-2</v>
      </c>
    </row>
    <row r="22" spans="2:15" x14ac:dyDescent="0.3">
      <c r="B22" s="58">
        <v>13</v>
      </c>
      <c r="C22" s="60">
        <v>2027</v>
      </c>
      <c r="D22" s="65">
        <v>394658.62121212122</v>
      </c>
      <c r="E22" s="26">
        <v>0.17604228239929798</v>
      </c>
      <c r="G22" t="s">
        <v>193</v>
      </c>
      <c r="H22">
        <v>10</v>
      </c>
      <c r="I22">
        <v>23577903002.005825</v>
      </c>
      <c r="J22">
        <v>2357790300.2005825</v>
      </c>
    </row>
    <row r="23" spans="2:15" ht="15" thickBot="1" x14ac:dyDescent="0.35">
      <c r="B23" s="58">
        <v>14</v>
      </c>
      <c r="C23" s="60">
        <v>2028</v>
      </c>
      <c r="D23" s="65">
        <v>407375.80652680655</v>
      </c>
      <c r="E23" s="26">
        <v>3.2223254811023283E-2</v>
      </c>
      <c r="G23" s="61" t="s">
        <v>26</v>
      </c>
      <c r="H23" s="61">
        <v>11</v>
      </c>
      <c r="I23" s="61">
        <v>46704835734.916664</v>
      </c>
      <c r="J23" s="61"/>
      <c r="K23" s="61"/>
      <c r="L23" s="61"/>
    </row>
    <row r="24" spans="2:15" ht="15" thickBot="1" x14ac:dyDescent="0.35">
      <c r="B24" s="58">
        <v>15</v>
      </c>
      <c r="C24" s="60">
        <v>2029</v>
      </c>
      <c r="D24" s="65">
        <v>420092.99184149189</v>
      </c>
      <c r="E24" s="26">
        <v>3.1217330805943355E-2</v>
      </c>
    </row>
    <row r="25" spans="2:15" x14ac:dyDescent="0.3">
      <c r="B25" s="58">
        <v>16</v>
      </c>
      <c r="C25" s="60">
        <v>2030</v>
      </c>
      <c r="D25" s="65">
        <v>432810.17715617723</v>
      </c>
      <c r="E25" s="26">
        <v>3.027231008767628E-2</v>
      </c>
      <c r="G25" s="62"/>
      <c r="H25" s="62" t="s">
        <v>200</v>
      </c>
      <c r="I25" s="62" t="s">
        <v>189</v>
      </c>
      <c r="J25" s="62" t="s">
        <v>201</v>
      </c>
      <c r="K25" s="62" t="s">
        <v>202</v>
      </c>
      <c r="L25" s="62" t="s">
        <v>203</v>
      </c>
      <c r="M25" s="62" t="s">
        <v>204</v>
      </c>
      <c r="N25" s="62" t="s">
        <v>205</v>
      </c>
      <c r="O25" s="62" t="s">
        <v>206</v>
      </c>
    </row>
    <row r="26" spans="2:15" x14ac:dyDescent="0.3">
      <c r="B26" s="58">
        <v>17</v>
      </c>
      <c r="C26" s="60">
        <v>2031</v>
      </c>
      <c r="D26" s="65">
        <v>445527.36247086251</v>
      </c>
      <c r="E26" s="26">
        <v>2.9382824124526863E-2</v>
      </c>
      <c r="G26" t="s">
        <v>194</v>
      </c>
      <c r="H26">
        <v>229335.2121212121</v>
      </c>
      <c r="I26">
        <v>29884.818661648504</v>
      </c>
      <c r="J26">
        <v>7.6739703431936945</v>
      </c>
      <c r="K26">
        <v>1.6920325912305692E-5</v>
      </c>
      <c r="L26">
        <v>162747.68657662859</v>
      </c>
      <c r="M26">
        <v>295922.7376657956</v>
      </c>
      <c r="N26">
        <v>162747.68657662859</v>
      </c>
      <c r="O26">
        <v>295922.7376657956</v>
      </c>
    </row>
    <row r="27" spans="2:15" ht="15" thickBot="1" x14ac:dyDescent="0.35">
      <c r="G27" s="61" t="s">
        <v>181</v>
      </c>
      <c r="H27" s="61">
        <v>12717.185314685319</v>
      </c>
      <c r="I27" s="61">
        <v>4060.5472608192522</v>
      </c>
      <c r="J27" s="61">
        <v>3.1318894961265671</v>
      </c>
      <c r="K27" s="61">
        <v>1.0656180340222346E-2</v>
      </c>
      <c r="L27" s="61">
        <v>3669.7222025274987</v>
      </c>
      <c r="M27" s="61">
        <v>21764.648426843138</v>
      </c>
      <c r="N27" s="61">
        <v>3669.7222025274987</v>
      </c>
      <c r="O27" s="61">
        <v>21764.648426843138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FFD4-C53D-46A8-B63B-4311C9D07FB8}">
  <dimension ref="B2:O20"/>
  <sheetViews>
    <sheetView showGridLines="0" workbookViewId="0">
      <selection activeCell="M21" sqref="M21"/>
    </sheetView>
  </sheetViews>
  <sheetFormatPr defaultRowHeight="14.4" x14ac:dyDescent="0.3"/>
  <cols>
    <col min="1" max="1" width="1.88671875" customWidth="1"/>
    <col min="2" max="2" width="11.44140625" customWidth="1"/>
    <col min="3" max="3" width="9.6640625" bestFit="1" customWidth="1"/>
    <col min="4" max="4" width="13.33203125" customWidth="1"/>
    <col min="5" max="5" width="16.5546875" customWidth="1"/>
    <col min="6" max="6" width="2.77734375" customWidth="1"/>
    <col min="7" max="7" width="11.109375" bestFit="1" customWidth="1"/>
    <col min="8" max="8" width="6.109375" bestFit="1" customWidth="1"/>
    <col min="9" max="9" width="12" customWidth="1"/>
    <col min="10" max="10" width="13.44140625" customWidth="1"/>
    <col min="11" max="11" width="2.77734375" customWidth="1"/>
    <col min="13" max="13" width="10.33203125" customWidth="1"/>
    <col min="14" max="14" width="9.88671875" customWidth="1"/>
    <col min="15" max="15" width="16.77734375" customWidth="1"/>
  </cols>
  <sheetData>
    <row r="2" spans="2:15" x14ac:dyDescent="0.3">
      <c r="B2" s="78" t="str">
        <f>'Data Sheet'!$B$1&amp;" - "&amp;'Data Sheet'!$A$17&amp;" Forecasting"</f>
        <v>KNR CONSTRUCTIONS LTD - Sales Forecasting</v>
      </c>
      <c r="C2" s="78"/>
      <c r="D2" s="78"/>
      <c r="E2" s="78"/>
      <c r="G2" s="78" t="str">
        <f>'Data Sheet'!$B$1&amp;" - "&amp;HistoricalFS!B18&amp;" Forecasting"</f>
        <v>KNR CONSTRUCTIONS LTD - EBITDA Forecasting</v>
      </c>
      <c r="H2" s="78"/>
      <c r="I2" s="78"/>
      <c r="J2" s="78"/>
      <c r="L2" s="78" t="str">
        <f>'Data Sheet'!$B$1&amp;" - "&amp;HistoricalFS!B43&amp;" Forecasting"</f>
        <v>KNR CONSTRUCTIONS LTD - EPS Forecasting</v>
      </c>
      <c r="M2" s="78"/>
      <c r="N2" s="78"/>
      <c r="O2" s="78"/>
    </row>
    <row r="3" spans="2:15" x14ac:dyDescent="0.3">
      <c r="B3" s="56" t="s">
        <v>181</v>
      </c>
      <c r="C3" s="57" t="s">
        <v>182</v>
      </c>
      <c r="D3" s="69" t="s">
        <v>6</v>
      </c>
      <c r="E3" s="69" t="s">
        <v>22</v>
      </c>
      <c r="G3" s="56" t="s">
        <v>181</v>
      </c>
      <c r="H3" s="57" t="s">
        <v>182</v>
      </c>
      <c r="I3" s="69" t="s">
        <v>84</v>
      </c>
      <c r="J3" s="69" t="s">
        <v>22</v>
      </c>
      <c r="L3" s="56" t="s">
        <v>181</v>
      </c>
      <c r="M3" s="57" t="s">
        <v>182</v>
      </c>
      <c r="N3" s="69" t="s">
        <v>84</v>
      </c>
      <c r="O3" s="69" t="s">
        <v>22</v>
      </c>
    </row>
    <row r="4" spans="2:15" x14ac:dyDescent="0.3">
      <c r="B4" s="58">
        <v>1</v>
      </c>
      <c r="C4" s="67">
        <f>'Data Sheet'!$B$16</f>
        <v>42825</v>
      </c>
      <c r="D4" s="65">
        <f t="array" ref="D4:D13">TRANSPOSE('Data Sheet'!B17:K17)</f>
        <v>1642.13</v>
      </c>
      <c r="G4" s="58">
        <v>1</v>
      </c>
      <c r="H4" s="67">
        <f>'Data Sheet'!$B$16</f>
        <v>42825</v>
      </c>
      <c r="I4" s="65">
        <f t="array" ref="I4:I13">TRANSPOSE(HistoricalFS!C18:L18)</f>
        <v>264.46000000000004</v>
      </c>
      <c r="L4" s="58">
        <v>1</v>
      </c>
      <c r="M4" s="67">
        <f>'Data Sheet'!$B$16</f>
        <v>42825</v>
      </c>
      <c r="N4" s="65">
        <f t="array" ref="N4:N13">TRANSPOSE(HistoricalFS!C43:L43)</f>
        <v>2.4598150782361317</v>
      </c>
    </row>
    <row r="5" spans="2:15" x14ac:dyDescent="0.3">
      <c r="B5" s="58">
        <f>B4+1</f>
        <v>2</v>
      </c>
      <c r="C5" s="67">
        <f>C4+365</f>
        <v>43190</v>
      </c>
      <c r="D5" s="65">
        <v>2069.6</v>
      </c>
      <c r="E5" s="26">
        <f>D5/D4-1</f>
        <v>0.26031434782873442</v>
      </c>
      <c r="G5" s="58">
        <f>G4+1</f>
        <v>2</v>
      </c>
      <c r="H5" s="67">
        <f>H4+365</f>
        <v>43190</v>
      </c>
      <c r="I5" s="65">
        <v>449.38999999999993</v>
      </c>
      <c r="J5" s="26">
        <f>I5/I4-1</f>
        <v>0.69927399228616749</v>
      </c>
      <c r="L5" s="58">
        <f>L4+1</f>
        <v>2</v>
      </c>
      <c r="M5" s="67">
        <f>M4+365</f>
        <v>43190</v>
      </c>
      <c r="N5" s="65">
        <v>6.1884779516358437</v>
      </c>
      <c r="O5" s="26">
        <f>N5/N4-1</f>
        <v>1.5158305623825337</v>
      </c>
    </row>
    <row r="6" spans="2:15" x14ac:dyDescent="0.3">
      <c r="B6" s="58">
        <f t="shared" ref="B6:B18" si="0">B5+1</f>
        <v>3</v>
      </c>
      <c r="C6" s="67">
        <f t="shared" ref="C6:C18" si="1">C5+365</f>
        <v>43555</v>
      </c>
      <c r="D6" s="65">
        <v>2291.5</v>
      </c>
      <c r="E6" s="26">
        <f t="shared" ref="E6:E18" si="2">D6/D5-1</f>
        <v>0.1072187862388867</v>
      </c>
      <c r="G6" s="58">
        <f t="shared" ref="G6:G18" si="3">G5+1</f>
        <v>3</v>
      </c>
      <c r="H6" s="67">
        <f t="shared" ref="H6:H18" si="4">H5+365</f>
        <v>43555</v>
      </c>
      <c r="I6" s="65">
        <v>537.56999999999982</v>
      </c>
      <c r="J6" s="26">
        <f t="shared" ref="J6:J18" si="5">I6/I5-1</f>
        <v>0.19622154476067544</v>
      </c>
      <c r="L6" s="58">
        <f t="shared" ref="L6:L18" si="6">L5+1</f>
        <v>3</v>
      </c>
      <c r="M6" s="67">
        <f t="shared" ref="M6:M18" si="7">M5+365</f>
        <v>43555</v>
      </c>
      <c r="N6" s="65">
        <v>6.7613798008534776</v>
      </c>
      <c r="O6" s="26">
        <f t="shared" ref="O6:O18" si="8">N6/N5-1</f>
        <v>9.2575566026892764E-2</v>
      </c>
    </row>
    <row r="7" spans="2:15" x14ac:dyDescent="0.3">
      <c r="B7" s="58">
        <f t="shared" si="0"/>
        <v>4</v>
      </c>
      <c r="C7" s="67">
        <f t="shared" si="1"/>
        <v>43920</v>
      </c>
      <c r="D7" s="65">
        <v>2451.6799999999998</v>
      </c>
      <c r="E7" s="26">
        <f t="shared" si="2"/>
        <v>6.9901811040802952E-2</v>
      </c>
      <c r="G7" s="58">
        <f t="shared" si="3"/>
        <v>4</v>
      </c>
      <c r="H7" s="67">
        <f t="shared" si="4"/>
        <v>43920</v>
      </c>
      <c r="I7" s="65">
        <v>622.98999999999978</v>
      </c>
      <c r="J7" s="26">
        <f t="shared" si="5"/>
        <v>0.15890023624830252</v>
      </c>
      <c r="L7" s="58">
        <f t="shared" si="6"/>
        <v>4</v>
      </c>
      <c r="M7" s="67">
        <f t="shared" si="7"/>
        <v>43920</v>
      </c>
      <c r="N7" s="65">
        <v>6.7407539118065367</v>
      </c>
      <c r="O7" s="26">
        <f t="shared" si="8"/>
        <v>-3.050544364382124E-3</v>
      </c>
    </row>
    <row r="8" spans="2:15" x14ac:dyDescent="0.3">
      <c r="B8" s="58">
        <f t="shared" si="0"/>
        <v>5</v>
      </c>
      <c r="C8" s="67">
        <f t="shared" si="1"/>
        <v>44285</v>
      </c>
      <c r="D8" s="65">
        <v>2903.63</v>
      </c>
      <c r="E8" s="26">
        <f t="shared" si="2"/>
        <v>0.18434298113946368</v>
      </c>
      <c r="G8" s="58">
        <f t="shared" si="3"/>
        <v>5</v>
      </c>
      <c r="H8" s="67">
        <f t="shared" si="4"/>
        <v>44285</v>
      </c>
      <c r="I8" s="65">
        <v>698.91000000000031</v>
      </c>
      <c r="J8" s="26">
        <f t="shared" si="5"/>
        <v>0.12186391434854582</v>
      </c>
      <c r="L8" s="58">
        <f t="shared" si="6"/>
        <v>5</v>
      </c>
      <c r="M8" s="67">
        <f t="shared" si="7"/>
        <v>44285</v>
      </c>
      <c r="N8" s="65">
        <v>8.4935988620199243</v>
      </c>
      <c r="O8" s="26">
        <f t="shared" si="8"/>
        <v>0.26003692957003688</v>
      </c>
    </row>
    <row r="9" spans="2:15" x14ac:dyDescent="0.3">
      <c r="B9" s="58">
        <f t="shared" si="0"/>
        <v>6</v>
      </c>
      <c r="C9" s="67">
        <f t="shared" si="1"/>
        <v>44650</v>
      </c>
      <c r="D9" s="65">
        <v>3605.82</v>
      </c>
      <c r="E9" s="26">
        <f t="shared" si="2"/>
        <v>0.24183177608717354</v>
      </c>
      <c r="G9" s="58">
        <f t="shared" si="3"/>
        <v>6</v>
      </c>
      <c r="H9" s="67">
        <f t="shared" si="4"/>
        <v>44650</v>
      </c>
      <c r="I9" s="65">
        <v>801.7099999999997</v>
      </c>
      <c r="J9" s="26">
        <f t="shared" si="5"/>
        <v>0.14708617704711524</v>
      </c>
      <c r="L9" s="58">
        <f t="shared" si="6"/>
        <v>6</v>
      </c>
      <c r="M9" s="67">
        <f t="shared" si="7"/>
        <v>44650</v>
      </c>
      <c r="N9" s="65">
        <v>10.265291607396861</v>
      </c>
      <c r="O9" s="26">
        <f t="shared" si="8"/>
        <v>0.2085915257075841</v>
      </c>
    </row>
    <row r="10" spans="2:15" x14ac:dyDescent="0.3">
      <c r="B10" s="58">
        <f t="shared" si="0"/>
        <v>7</v>
      </c>
      <c r="C10" s="67">
        <f t="shared" si="1"/>
        <v>45015</v>
      </c>
      <c r="D10" s="65">
        <v>4062.36</v>
      </c>
      <c r="E10" s="26">
        <f t="shared" si="2"/>
        <v>0.1266119773033596</v>
      </c>
      <c r="G10" s="58">
        <f t="shared" si="3"/>
        <v>7</v>
      </c>
      <c r="H10" s="67">
        <f t="shared" si="4"/>
        <v>45015</v>
      </c>
      <c r="I10" s="65">
        <v>917.68000000000006</v>
      </c>
      <c r="J10" s="26">
        <f t="shared" si="5"/>
        <v>0.14465330356363326</v>
      </c>
      <c r="L10" s="58">
        <f t="shared" si="6"/>
        <v>7</v>
      </c>
      <c r="M10" s="67">
        <f t="shared" si="7"/>
        <v>45015</v>
      </c>
      <c r="N10" s="65">
        <v>12.15291607396871</v>
      </c>
      <c r="O10" s="26">
        <f t="shared" si="8"/>
        <v>0.18388415436846262</v>
      </c>
    </row>
    <row r="11" spans="2:15" x14ac:dyDescent="0.3">
      <c r="B11" s="58">
        <f t="shared" si="0"/>
        <v>8</v>
      </c>
      <c r="C11" s="67">
        <f t="shared" si="1"/>
        <v>45380</v>
      </c>
      <c r="D11" s="65">
        <v>4429.49</v>
      </c>
      <c r="E11" s="26">
        <f t="shared" si="2"/>
        <v>9.0373575950924989E-2</v>
      </c>
      <c r="G11" s="58">
        <f t="shared" si="3"/>
        <v>8</v>
      </c>
      <c r="H11" s="67">
        <f t="shared" si="4"/>
        <v>45380</v>
      </c>
      <c r="I11" s="65">
        <v>1048.9899999999996</v>
      </c>
      <c r="J11" s="26">
        <f t="shared" si="5"/>
        <v>0.14308909423764216</v>
      </c>
      <c r="L11" s="58">
        <f t="shared" si="6"/>
        <v>8</v>
      </c>
      <c r="M11" s="67">
        <f t="shared" si="7"/>
        <v>45380</v>
      </c>
      <c r="N11" s="65">
        <v>20.985064011379784</v>
      </c>
      <c r="O11" s="26">
        <f t="shared" si="8"/>
        <v>0.72675133142154658</v>
      </c>
    </row>
    <row r="12" spans="2:15" x14ac:dyDescent="0.3">
      <c r="B12" s="58">
        <f t="shared" si="0"/>
        <v>9</v>
      </c>
      <c r="C12" s="67">
        <f t="shared" si="1"/>
        <v>45745</v>
      </c>
      <c r="D12" s="65">
        <v>4753.17</v>
      </c>
      <c r="E12" s="26">
        <f t="shared" si="2"/>
        <v>7.3073875321989723E-2</v>
      </c>
      <c r="G12" s="58">
        <f t="shared" si="3"/>
        <v>9</v>
      </c>
      <c r="H12" s="67">
        <f t="shared" si="4"/>
        <v>45745</v>
      </c>
      <c r="I12" s="65">
        <v>1609.6300000000003</v>
      </c>
      <c r="J12" s="26">
        <f t="shared" si="5"/>
        <v>0.53445695383178204</v>
      </c>
      <c r="L12" s="58">
        <f t="shared" si="6"/>
        <v>9</v>
      </c>
      <c r="M12" s="67">
        <f t="shared" si="7"/>
        <v>45745</v>
      </c>
      <c r="N12" s="65">
        <v>29.505334281650079</v>
      </c>
      <c r="O12" s="26">
        <f t="shared" si="8"/>
        <v>0.40601592950347554</v>
      </c>
    </row>
    <row r="13" spans="2:15" x14ac:dyDescent="0.3">
      <c r="B13" s="58">
        <f t="shared" si="0"/>
        <v>10</v>
      </c>
      <c r="C13" s="67">
        <f t="shared" si="1"/>
        <v>46110</v>
      </c>
      <c r="D13" s="65">
        <v>2698.01</v>
      </c>
      <c r="E13" s="26">
        <f t="shared" si="2"/>
        <v>-0.43237670859657862</v>
      </c>
      <c r="G13" s="58">
        <f t="shared" si="3"/>
        <v>10</v>
      </c>
      <c r="H13" s="67">
        <f t="shared" si="4"/>
        <v>46110</v>
      </c>
      <c r="I13" s="65">
        <v>711.35000000000014</v>
      </c>
      <c r="J13" s="26">
        <f t="shared" si="5"/>
        <v>-0.55806613942334571</v>
      </c>
      <c r="L13" s="58">
        <f t="shared" si="6"/>
        <v>10</v>
      </c>
      <c r="M13" s="67">
        <f t="shared" si="7"/>
        <v>46110</v>
      </c>
      <c r="N13" s="65">
        <v>12.596372688477956</v>
      </c>
      <c r="O13" s="26">
        <f t="shared" si="8"/>
        <v>-0.57308151237209071</v>
      </c>
    </row>
    <row r="14" spans="2:15" x14ac:dyDescent="0.3">
      <c r="B14" s="70">
        <f t="shared" si="0"/>
        <v>11</v>
      </c>
      <c r="C14" s="71">
        <f t="shared" si="1"/>
        <v>46475</v>
      </c>
      <c r="D14" s="72">
        <f>FORECAST(B14,$D$4:$D$13,$B$4:$B$13)</f>
        <v>4574.4753333333338</v>
      </c>
      <c r="E14" s="73">
        <f t="shared" si="2"/>
        <v>0.69549976958326076</v>
      </c>
      <c r="G14" s="70">
        <f t="shared" si="3"/>
        <v>11</v>
      </c>
      <c r="H14" s="71">
        <f t="shared" si="4"/>
        <v>46475</v>
      </c>
      <c r="I14" s="72">
        <f>FORECAST(G14,$I$4:$I$13,$G$4:$G$13)</f>
        <v>1289.19</v>
      </c>
      <c r="J14" s="73">
        <f t="shared" si="5"/>
        <v>0.81231461305967501</v>
      </c>
      <c r="L14" s="70">
        <f t="shared" si="6"/>
        <v>11</v>
      </c>
      <c r="M14" s="71">
        <f t="shared" si="7"/>
        <v>46475</v>
      </c>
      <c r="N14" s="72">
        <f>FORECAST(L14,$N$4:$N$13,$L$4:$L$13)</f>
        <v>23.067354196301565</v>
      </c>
      <c r="O14" s="73">
        <f t="shared" si="8"/>
        <v>0.83126958583890853</v>
      </c>
    </row>
    <row r="15" spans="2:15" x14ac:dyDescent="0.3">
      <c r="B15" s="70">
        <f t="shared" si="0"/>
        <v>12</v>
      </c>
      <c r="C15" s="71">
        <f t="shared" si="1"/>
        <v>46840</v>
      </c>
      <c r="D15" s="72">
        <f t="shared" ref="D15:D18" si="9">FORECAST(B15,$D$4:$D$13,$B$4:$B$13)</f>
        <v>4844.2455757575754</v>
      </c>
      <c r="E15" s="73">
        <f t="shared" si="2"/>
        <v>5.8972936296863843E-2</v>
      </c>
      <c r="G15" s="70">
        <f t="shared" si="3"/>
        <v>12</v>
      </c>
      <c r="H15" s="71">
        <f t="shared" si="4"/>
        <v>46840</v>
      </c>
      <c r="I15" s="72">
        <f t="shared" ref="I15:I18" si="10">FORECAST(G15,$I$4:$I$13,$G$4:$G$13)</f>
        <v>1384.2667272727274</v>
      </c>
      <c r="J15" s="73">
        <f t="shared" si="5"/>
        <v>7.3749196994025157E-2</v>
      </c>
      <c r="L15" s="70">
        <f t="shared" si="6"/>
        <v>12</v>
      </c>
      <c r="M15" s="71">
        <f t="shared" si="7"/>
        <v>46840</v>
      </c>
      <c r="N15" s="72">
        <f t="shared" ref="N15:N18" si="11">FORECAST(L15,$N$4:$N$13,$L$4:$L$13)</f>
        <v>25.149618518039571</v>
      </c>
      <c r="O15" s="73">
        <f t="shared" si="8"/>
        <v>9.0268884069585109E-2</v>
      </c>
    </row>
    <row r="16" spans="2:15" x14ac:dyDescent="0.3">
      <c r="B16" s="70">
        <f t="shared" si="0"/>
        <v>13</v>
      </c>
      <c r="C16" s="71">
        <f t="shared" si="1"/>
        <v>47205</v>
      </c>
      <c r="D16" s="72">
        <f t="shared" si="9"/>
        <v>5114.0158181818178</v>
      </c>
      <c r="E16" s="73">
        <f t="shared" si="2"/>
        <v>5.5688804005782577E-2</v>
      </c>
      <c r="G16" s="70">
        <f t="shared" si="3"/>
        <v>13</v>
      </c>
      <c r="H16" s="71">
        <f t="shared" si="4"/>
        <v>47205</v>
      </c>
      <c r="I16" s="72">
        <f t="shared" si="10"/>
        <v>1479.3434545454547</v>
      </c>
      <c r="J16" s="73">
        <f t="shared" si="5"/>
        <v>6.8683820393521167E-2</v>
      </c>
      <c r="L16" s="70">
        <f t="shared" si="6"/>
        <v>13</v>
      </c>
      <c r="M16" s="71">
        <f t="shared" si="7"/>
        <v>47205</v>
      </c>
      <c r="N16" s="72">
        <f t="shared" si="11"/>
        <v>27.231882839777576</v>
      </c>
      <c r="O16" s="73">
        <f t="shared" si="8"/>
        <v>8.279506586727825E-2</v>
      </c>
    </row>
    <row r="17" spans="2:15" x14ac:dyDescent="0.3">
      <c r="B17" s="70">
        <f t="shared" si="0"/>
        <v>14</v>
      </c>
      <c r="C17" s="71">
        <f t="shared" si="1"/>
        <v>47570</v>
      </c>
      <c r="D17" s="72">
        <f t="shared" si="9"/>
        <v>5383.7860606060603</v>
      </c>
      <c r="E17" s="73">
        <f t="shared" si="2"/>
        <v>5.2751155259459725E-2</v>
      </c>
      <c r="G17" s="70">
        <f t="shared" si="3"/>
        <v>14</v>
      </c>
      <c r="H17" s="71">
        <f t="shared" si="4"/>
        <v>47570</v>
      </c>
      <c r="I17" s="72">
        <f t="shared" si="10"/>
        <v>1574.4201818181818</v>
      </c>
      <c r="J17" s="73">
        <f t="shared" si="5"/>
        <v>6.4269542668129453E-2</v>
      </c>
      <c r="L17" s="70">
        <f t="shared" si="6"/>
        <v>14</v>
      </c>
      <c r="M17" s="71">
        <f t="shared" si="7"/>
        <v>47570</v>
      </c>
      <c r="N17" s="72">
        <f t="shared" si="11"/>
        <v>29.314147161515585</v>
      </c>
      <c r="O17" s="73">
        <f t="shared" si="8"/>
        <v>7.6464206826582171E-2</v>
      </c>
    </row>
    <row r="18" spans="2:15" x14ac:dyDescent="0.3">
      <c r="B18" s="70">
        <f t="shared" si="0"/>
        <v>15</v>
      </c>
      <c r="C18" s="71">
        <f t="shared" si="1"/>
        <v>47935</v>
      </c>
      <c r="D18" s="72">
        <f t="shared" si="9"/>
        <v>5653.5563030303028</v>
      </c>
      <c r="E18" s="73">
        <f t="shared" si="2"/>
        <v>5.0107905363883321E-2</v>
      </c>
      <c r="G18" s="70">
        <f t="shared" si="3"/>
        <v>15</v>
      </c>
      <c r="H18" s="71">
        <f t="shared" si="4"/>
        <v>47935</v>
      </c>
      <c r="I18" s="72">
        <f t="shared" si="10"/>
        <v>1669.4969090909092</v>
      </c>
      <c r="J18" s="73">
        <f t="shared" si="5"/>
        <v>6.0388407345572936E-2</v>
      </c>
      <c r="L18" s="70">
        <f t="shared" si="6"/>
        <v>15</v>
      </c>
      <c r="M18" s="71">
        <f t="shared" si="7"/>
        <v>47935</v>
      </c>
      <c r="N18" s="72">
        <f t="shared" si="11"/>
        <v>31.396411483253591</v>
      </c>
      <c r="O18" s="73">
        <f t="shared" si="8"/>
        <v>7.1032744369642131E-2</v>
      </c>
    </row>
    <row r="19" spans="2:15" x14ac:dyDescent="0.3">
      <c r="B19" s="58"/>
      <c r="C19" s="68"/>
    </row>
    <row r="20" spans="2:15" x14ac:dyDescent="0.3">
      <c r="B20" s="58"/>
      <c r="C20" s="68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Profit &amp; Loss</vt:lpstr>
      <vt:lpstr>Financials</vt:lpstr>
      <vt:lpstr>HistoricalFS</vt:lpstr>
      <vt:lpstr>Ratio Analysis</vt:lpstr>
      <vt:lpstr>CashFlow Data</vt:lpstr>
      <vt:lpstr>Data Sheet</vt:lpstr>
      <vt:lpstr>Forecast</vt:lpstr>
      <vt:lpstr>Sheet2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 Kagwade</dc:creator>
  <cp:lastModifiedBy>Sumedh Kagwade</cp:lastModifiedBy>
  <cp:lastPrinted>2026-06-04T11:15:38Z</cp:lastPrinted>
  <dcterms:created xsi:type="dcterms:W3CDTF">2012-08-17T09:55:37Z</dcterms:created>
  <dcterms:modified xsi:type="dcterms:W3CDTF">2026-08-15T11:38:47Z</dcterms:modified>
</cp:coreProperties>
</file>